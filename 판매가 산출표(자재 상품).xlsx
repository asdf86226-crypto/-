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자재판매가산출" sheetId="1" state="visible" r:id="rId1"/>
    <sheet name="상품판매가산출" sheetId="2" state="visible" r:id="rId2"/>
    <sheet name="사용안내" sheetId="3" state="visible" r:id="rId3"/>
    <sheet name="설정" sheetId="4" state="visible" r:id="rId4"/>
    <sheet name="월평균환율" sheetId="5" state="visible" r:id="rId5"/>
    <sheet name="유통가 보고" sheetId="6" state="visible" r:id="rId6"/>
  </sheets>
  <definedNames>
    <definedName name="_xlnm._FilterDatabase" localSheetId="5" hidden="1">'유통가 보고'!$B$6:$J$46</definedName>
    <definedName name="_xlnm.Print_Titles" localSheetId="5">'유통가 보고'!$6:$6</definedName>
    <definedName name="_xlnm.Print_Area" localSheetId="5">'유통가 보고'!$B$2:$J$47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;\(#,##0\);\-"/>
    <numFmt numFmtId="167" formatCode="0.00_);[Red]\(0.00\)"/>
    <numFmt numFmtId="168" formatCode="#,##0;(#,##0);-"/>
  </numFmts>
  <fonts count="40">
    <font>
      <name val="맑은 고딕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sz val="14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14606B"/>
      <sz val="10"/>
    </font>
    <font>
      <name val="맑은 고딕"/>
      <charset val="129"/>
      <family val="3"/>
      <sz val="10"/>
    </font>
    <font>
      <name val="맑은 고딕"/>
      <charset val="129"/>
      <family val="3"/>
      <color rgb="FF0000FF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color rgb="FF008000"/>
      <sz val="10"/>
    </font>
    <font>
      <name val="맑은 고딕"/>
      <charset val="129"/>
      <family val="3"/>
      <color rgb="FFC00000"/>
      <sz val="9"/>
    </font>
    <font>
      <name val="맑은 고딕"/>
      <charset val="129"/>
      <family val="2"/>
      <color theme="3"/>
      <sz val="18"/>
      <scheme val="major"/>
    </font>
    <font>
      <name val="맑은 고딕"/>
      <charset val="129"/>
      <family val="2"/>
      <b val="1"/>
      <color theme="3"/>
      <sz val="15"/>
      <scheme val="minor"/>
    </font>
    <font>
      <name val="맑은 고딕"/>
      <charset val="129"/>
      <family val="2"/>
      <b val="1"/>
      <color theme="3"/>
      <sz val="13"/>
      <scheme val="minor"/>
    </font>
    <font>
      <name val="맑은 고딕"/>
      <charset val="129"/>
      <family val="2"/>
      <b val="1"/>
      <color theme="3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2"/>
      <color rgb="FF9C0006"/>
      <sz val="11"/>
      <scheme val="minor"/>
    </font>
    <font>
      <name val="맑은 고딕"/>
      <charset val="129"/>
      <family val="2"/>
      <color rgb="FF9C5700"/>
      <sz val="11"/>
      <scheme val="minor"/>
    </font>
    <font>
      <name val="맑은 고딕"/>
      <charset val="129"/>
      <family val="2"/>
      <color rgb="FF3F3F76"/>
      <sz val="11"/>
      <scheme val="minor"/>
    </font>
    <font>
      <name val="맑은 고딕"/>
      <charset val="129"/>
      <family val="2"/>
      <b val="1"/>
      <color rgb="FF3F3F3F"/>
      <sz val="11"/>
      <scheme val="minor"/>
    </font>
    <font>
      <name val="맑은 고딕"/>
      <charset val="129"/>
      <family val="2"/>
      <b val="1"/>
      <color rgb="FFFA7D00"/>
      <sz val="11"/>
      <scheme val="minor"/>
    </font>
    <font>
      <name val="맑은 고딕"/>
      <charset val="129"/>
      <family val="2"/>
      <color rgb="FFFA7D00"/>
      <sz val="11"/>
      <scheme val="minor"/>
    </font>
    <font>
      <name val="맑은 고딕"/>
      <charset val="129"/>
      <family val="2"/>
      <b val="1"/>
      <color theme="0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i val="1"/>
      <color rgb="FF7F7F7F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rgb="FF808080"/>
      <sz val="9"/>
    </font>
    <font>
      <name val="맑은 고딕"/>
      <charset val="129"/>
      <family val="3"/>
      <b val="1"/>
      <color rgb="FFC00000"/>
      <sz val="9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b val="1"/>
      <sz val="14"/>
    </font>
    <font>
      <name val="맑은 고딕"/>
      <color rgb="00008000"/>
      <sz val="10"/>
    </font>
    <font>
      <name val="맑은 고딕"/>
      <color rgb="00808080"/>
      <sz val="9"/>
    </font>
    <font>
      <name val="맑은 고딕"/>
      <b val="1"/>
      <sz val="10"/>
    </font>
    <font>
      <name val="맑은 고딕"/>
      <sz val="10"/>
    </font>
    <font>
      <name val="맑은 고딕"/>
      <color rgb="00C00000"/>
      <sz val="9"/>
    </font>
  </fonts>
  <fills count="38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00E8EFEE"/>
      </patternFill>
    </fill>
    <fill>
      <patternFill patternType="solid">
        <fgColor rgb="00F2F2F2"/>
      </patternFill>
    </fill>
  </fills>
  <borders count="4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43">
    <xf numFmtId="0" fontId="0" fillId="0" borderId="0"/>
    <xf numFmtId="0" fontId="11" fillId="0" borderId="0" applyAlignment="1">
      <alignment vertical="center"/>
    </xf>
    <xf numFmtId="0" fontId="12" fillId="0" borderId="2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0" applyAlignment="1">
      <alignment vertical="center"/>
    </xf>
    <xf numFmtId="0" fontId="16" fillId="5" borderId="0" applyAlignment="1">
      <alignment vertical="center"/>
    </xf>
    <xf numFmtId="0" fontId="17" fillId="6" borderId="0" applyAlignment="1">
      <alignment vertical="center"/>
    </xf>
    <xf numFmtId="0" fontId="18" fillId="7" borderId="5" applyAlignment="1">
      <alignment vertical="center"/>
    </xf>
    <xf numFmtId="0" fontId="19" fillId="3" borderId="6" applyAlignment="1">
      <alignment vertical="center"/>
    </xf>
    <xf numFmtId="0" fontId="20" fillId="3" borderId="5" applyAlignment="1">
      <alignment vertical="center"/>
    </xf>
    <xf numFmtId="0" fontId="21" fillId="0" borderId="7" applyAlignment="1">
      <alignment vertical="center"/>
    </xf>
    <xf numFmtId="0" fontId="22" fillId="8" borderId="8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10" applyAlignment="1">
      <alignment vertical="center"/>
    </xf>
    <xf numFmtId="0" fontId="26" fillId="10" borderId="0" applyAlignment="1">
      <alignment vertical="center"/>
    </xf>
    <xf numFmtId="0" fontId="1" fillId="11" borderId="0" applyAlignment="1">
      <alignment vertical="center"/>
    </xf>
    <xf numFmtId="0" fontId="1" fillId="12" borderId="0" applyAlignment="1">
      <alignment vertical="center"/>
    </xf>
    <xf numFmtId="0" fontId="1" fillId="13" borderId="0" applyAlignment="1">
      <alignment vertical="center"/>
    </xf>
    <xf numFmtId="0" fontId="26" fillId="14" borderId="0" applyAlignment="1">
      <alignment vertical="center"/>
    </xf>
    <xf numFmtId="0" fontId="1" fillId="15" borderId="0" applyAlignment="1">
      <alignment vertical="center"/>
    </xf>
    <xf numFmtId="0" fontId="1" fillId="16" borderId="0" applyAlignment="1">
      <alignment vertical="center"/>
    </xf>
    <xf numFmtId="0" fontId="1" fillId="17" borderId="0" applyAlignment="1">
      <alignment vertical="center"/>
    </xf>
    <xf numFmtId="0" fontId="26" fillId="18" borderId="0" applyAlignment="1">
      <alignment vertical="center"/>
    </xf>
    <xf numFmtId="0" fontId="1" fillId="19" borderId="0" applyAlignment="1">
      <alignment vertical="center"/>
    </xf>
    <xf numFmtId="0" fontId="1" fillId="20" borderId="0" applyAlignment="1">
      <alignment vertical="center"/>
    </xf>
    <xf numFmtId="0" fontId="1" fillId="21" borderId="0" applyAlignment="1">
      <alignment vertical="center"/>
    </xf>
    <xf numFmtId="0" fontId="26" fillId="22" borderId="0" applyAlignment="1">
      <alignment vertical="center"/>
    </xf>
    <xf numFmtId="0" fontId="1" fillId="23" borderId="0" applyAlignment="1">
      <alignment vertical="center"/>
    </xf>
    <xf numFmtId="0" fontId="1" fillId="24" borderId="0" applyAlignment="1">
      <alignment vertical="center"/>
    </xf>
    <xf numFmtId="0" fontId="1" fillId="25" borderId="0" applyAlignment="1">
      <alignment vertical="center"/>
    </xf>
    <xf numFmtId="0" fontId="26" fillId="26" borderId="0" applyAlignment="1">
      <alignment vertical="center"/>
    </xf>
    <xf numFmtId="0" fontId="1" fillId="27" borderId="0" applyAlignment="1">
      <alignment vertical="center"/>
    </xf>
    <xf numFmtId="0" fontId="1" fillId="28" borderId="0" applyAlignment="1">
      <alignment vertical="center"/>
    </xf>
    <xf numFmtId="0" fontId="1" fillId="29" borderId="0" applyAlignment="1">
      <alignment vertical="center"/>
    </xf>
    <xf numFmtId="0" fontId="26" fillId="30" borderId="0" applyAlignment="1">
      <alignment vertical="center"/>
    </xf>
    <xf numFmtId="0" fontId="1" fillId="31" borderId="0" applyAlignment="1">
      <alignment vertical="center"/>
    </xf>
    <xf numFmtId="0" fontId="1" fillId="32" borderId="0" applyAlignment="1">
      <alignment vertical="center"/>
    </xf>
    <xf numFmtId="0" fontId="1" fillId="33" borderId="0" applyAlignment="1">
      <alignment vertical="center"/>
    </xf>
    <xf numFmtId="0" fontId="1" fillId="0" borderId="0" applyAlignment="1">
      <alignment vertical="center"/>
    </xf>
    <xf numFmtId="0" fontId="1" fillId="9" borderId="9" applyAlignment="1">
      <alignment vertical="center"/>
    </xf>
  </cellStyleXfs>
  <cellXfs count="123">
    <xf numFmtId="0" fontId="0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10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5" fillId="0" borderId="12" pivotButton="0" quotePrefix="0" xfId="0"/>
    <xf numFmtId="0" fontId="10" fillId="0" borderId="12" pivotButton="0" quotePrefix="0" xfId="0"/>
    <xf numFmtId="0" fontId="5" fillId="0" borderId="13" pivotButton="0" quotePrefix="0" xfId="0"/>
    <xf numFmtId="0" fontId="4" fillId="34" borderId="11" pivotButton="0" quotePrefix="0" xfId="0"/>
    <xf numFmtId="0" fontId="4" fillId="34" borderId="12" pivotButton="0" quotePrefix="0" xfId="0"/>
    <xf numFmtId="0" fontId="0" fillId="34" borderId="15" pivotButton="0" quotePrefix="0" xfId="0"/>
    <xf numFmtId="0" fontId="0" fillId="34" borderId="16" pivotButton="0" quotePrefix="0" xfId="0"/>
    <xf numFmtId="0" fontId="8" fillId="0" borderId="17" pivotButton="0" quotePrefix="0" xfId="0"/>
    <xf numFmtId="0" fontId="28" fillId="0" borderId="17" pivotButton="0" quotePrefix="0" xfId="0"/>
    <xf numFmtId="0" fontId="0" fillId="0" borderId="18" pivotButton="0" quotePrefix="0" xfId="0"/>
    <xf numFmtId="0" fontId="10" fillId="0" borderId="18" pivotButton="0" quotePrefix="0" xfId="0"/>
    <xf numFmtId="0" fontId="0" fillId="34" borderId="18" pivotButton="0" quotePrefix="0" xfId="0"/>
    <xf numFmtId="0" fontId="0" fillId="34" borderId="0" pivotButton="0" quotePrefix="0" xfId="0"/>
    <xf numFmtId="0" fontId="8" fillId="2" borderId="17" pivotButton="0" quotePrefix="0" xfId="0"/>
    <xf numFmtId="0" fontId="0" fillId="0" borderId="21" pivotButton="0" quotePrefix="0" xfId="0"/>
    <xf numFmtId="0" fontId="8" fillId="34" borderId="23" applyAlignment="1" pivotButton="0" quotePrefix="0" xfId="0">
      <alignment horizontal="center" vertical="center"/>
    </xf>
    <xf numFmtId="0" fontId="8" fillId="34" borderId="24" applyAlignment="1" pivotButton="0" quotePrefix="0" xfId="0">
      <alignment horizontal="center" vertical="center"/>
    </xf>
    <xf numFmtId="49" fontId="6" fillId="0" borderId="25" applyAlignment="1" pivotButton="0" quotePrefix="0" xfId="0">
      <alignment horizontal="center"/>
    </xf>
    <xf numFmtId="49" fontId="6" fillId="0" borderId="27" applyAlignment="1" pivotButton="0" quotePrefix="0" xfId="0">
      <alignment horizontal="center"/>
    </xf>
    <xf numFmtId="0" fontId="0" fillId="0" borderId="16" pivotButton="0" quotePrefix="0" xfId="0"/>
    <xf numFmtId="0" fontId="29" fillId="0" borderId="0" pivotButton="0" quotePrefix="0" xfId="0"/>
    <xf numFmtId="0" fontId="29" fillId="0" borderId="20" pivotButton="0" quotePrefix="0" xfId="0"/>
    <xf numFmtId="0" fontId="29" fillId="0" borderId="18" pivotButton="0" quotePrefix="0" xfId="0"/>
    <xf numFmtId="0" fontId="28" fillId="0" borderId="18" pivotButton="0" quotePrefix="0" xfId="0"/>
    <xf numFmtId="0" fontId="30" fillId="0" borderId="18" pivotButton="0" quotePrefix="0" xfId="0"/>
    <xf numFmtId="0" fontId="28" fillId="34" borderId="18" pivotButton="0" quotePrefix="0" xfId="0"/>
    <xf numFmtId="49" fontId="5" fillId="0" borderId="25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49" fontId="5" fillId="0" borderId="1" applyAlignment="1" pivotButton="0" quotePrefix="0" xfId="0">
      <alignment horizontal="center" vertical="center"/>
    </xf>
    <xf numFmtId="0" fontId="31" fillId="0" borderId="17" pivotButton="0" quotePrefix="0" xfId="0"/>
    <xf numFmtId="0" fontId="32" fillId="0" borderId="0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center"/>
    </xf>
    <xf numFmtId="4" fontId="5" fillId="2" borderId="1" applyAlignment="1" pivotButton="0" quotePrefix="0" xfId="0">
      <alignment horizontal="center" vertical="center"/>
    </xf>
    <xf numFmtId="0" fontId="8" fillId="34" borderId="17" pivotButton="0" quotePrefix="0" xfId="0"/>
    <xf numFmtId="0" fontId="32" fillId="34" borderId="0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3" fontId="5" fillId="2" borderId="1" applyAlignment="1" pivotButton="0" quotePrefix="0" xfId="0">
      <alignment horizontal="center" vertical="center"/>
    </xf>
    <xf numFmtId="0" fontId="8" fillId="34" borderId="14" pivotButton="0" quotePrefix="0" xfId="0"/>
    <xf numFmtId="0" fontId="8" fillId="0" borderId="19" pivotButton="0" quotePrefix="0" xfId="0"/>
    <xf numFmtId="166" fontId="9" fillId="0" borderId="22" pivotButton="0" quotePrefix="0" xfId="0"/>
    <xf numFmtId="166" fontId="7" fillId="0" borderId="22" pivotButton="0" quotePrefix="0" xfId="0"/>
    <xf numFmtId="165" fontId="6" fillId="0" borderId="22" pivotButton="0" quotePrefix="0" xfId="0"/>
    <xf numFmtId="165" fontId="7" fillId="0" borderId="22" pivotButton="0" quotePrefix="0" xfId="0"/>
    <xf numFmtId="0" fontId="6" fillId="35" borderId="22" applyAlignment="1" pivotButton="0" quotePrefix="0" xfId="0">
      <alignment horizontal="center" vertical="center"/>
    </xf>
    <xf numFmtId="4" fontId="6" fillId="35" borderId="22" pivotButton="0" quotePrefix="0" xfId="0"/>
    <xf numFmtId="3" fontId="6" fillId="35" borderId="22" pivotButton="0" quotePrefix="0" xfId="0"/>
    <xf numFmtId="165" fontId="6" fillId="35" borderId="22" pivotButton="0" quotePrefix="0" xfId="0"/>
    <xf numFmtId="166" fontId="6" fillId="35" borderId="22" pivotButton="0" quotePrefix="0" xfId="0"/>
    <xf numFmtId="0" fontId="6" fillId="35" borderId="25" pivotButton="0" quotePrefix="0" xfId="0"/>
    <xf numFmtId="166" fontId="7" fillId="0" borderId="26" pivotButton="0" quotePrefix="0" xfId="0"/>
    <xf numFmtId="0" fontId="8" fillId="34" borderId="27" pivotButton="0" quotePrefix="0" xfId="0"/>
    <xf numFmtId="0" fontId="0" fillId="34" borderId="28" pivotButton="0" quotePrefix="0" xfId="0"/>
    <xf numFmtId="3" fontId="8" fillId="34" borderId="28" pivotButton="0" quotePrefix="0" xfId="0"/>
    <xf numFmtId="165" fontId="8" fillId="34" borderId="28" pivotButton="0" quotePrefix="0" xfId="0"/>
    <xf numFmtId="166" fontId="8" fillId="34" borderId="28" pivotButton="0" quotePrefix="0" xfId="0"/>
    <xf numFmtId="166" fontId="8" fillId="34" borderId="29" pivotButton="0" quotePrefix="0" xfId="0"/>
    <xf numFmtId="0" fontId="6" fillId="35" borderId="30" pivotButton="0" quotePrefix="0" xfId="0"/>
    <xf numFmtId="0" fontId="6" fillId="35" borderId="31" applyAlignment="1" pivotButton="0" quotePrefix="0" xfId="0">
      <alignment horizontal="center" vertical="center"/>
    </xf>
    <xf numFmtId="4" fontId="6" fillId="35" borderId="31" pivotButton="0" quotePrefix="0" xfId="0"/>
    <xf numFmtId="166" fontId="6" fillId="35" borderId="31" pivotButton="0" quotePrefix="0" xfId="0"/>
    <xf numFmtId="3" fontId="6" fillId="35" borderId="31" pivotButton="0" quotePrefix="0" xfId="0"/>
    <xf numFmtId="166" fontId="9" fillId="0" borderId="31" pivotButton="0" quotePrefix="0" xfId="0"/>
    <xf numFmtId="165" fontId="6" fillId="0" borderId="31" pivotButton="0" quotePrefix="0" xfId="0"/>
    <xf numFmtId="166" fontId="7" fillId="0" borderId="31" pivotButton="0" quotePrefix="0" xfId="0"/>
    <xf numFmtId="165" fontId="7" fillId="0" borderId="31" pivotButton="0" quotePrefix="0" xfId="0"/>
    <xf numFmtId="166" fontId="7" fillId="0" borderId="32" pivotButton="0" quotePrefix="0" xfId="0"/>
    <xf numFmtId="0" fontId="8" fillId="34" borderId="33" applyAlignment="1" pivotButton="0" quotePrefix="0" xfId="0">
      <alignment horizontal="center" vertical="center" wrapText="1"/>
    </xf>
    <xf numFmtId="0" fontId="8" fillId="34" borderId="34" applyAlignment="1" pivotButton="0" quotePrefix="0" xfId="0">
      <alignment horizontal="center" vertical="center" wrapText="1"/>
    </xf>
    <xf numFmtId="0" fontId="8" fillId="34" borderId="35" applyAlignment="1" pivotButton="0" quotePrefix="0" xfId="0">
      <alignment horizontal="center" vertical="center" wrapText="1"/>
    </xf>
    <xf numFmtId="165" fontId="6" fillId="35" borderId="31" pivotButton="0" quotePrefix="0" xfId="0"/>
    <xf numFmtId="0" fontId="6" fillId="35" borderId="38" pivotButton="0" quotePrefix="0" xfId="0"/>
    <xf numFmtId="0" fontId="8" fillId="34" borderId="39" pivotButton="0" quotePrefix="0" xfId="0"/>
    <xf numFmtId="0" fontId="6" fillId="35" borderId="37" pivotButton="0" quotePrefix="0" xfId="0"/>
    <xf numFmtId="167" fontId="6" fillId="0" borderId="28" pivotButton="0" quotePrefix="0" xfId="0"/>
    <xf numFmtId="167" fontId="6" fillId="0" borderId="22" pivotButton="0" quotePrefix="0" xfId="0"/>
    <xf numFmtId="167" fontId="33" fillId="0" borderId="22" applyAlignment="1" pivotButton="0" quotePrefix="0" xfId="41">
      <alignment horizontal="center" vertical="center" wrapText="1"/>
    </xf>
    <xf numFmtId="0" fontId="8" fillId="34" borderId="36" applyAlignment="1" pivotButton="0" quotePrefix="0" xfId="0">
      <alignment horizontal="center" vertical="center" wrapText="1"/>
    </xf>
    <xf numFmtId="166" fontId="9" fillId="0" borderId="31" pivotButton="0" quotePrefix="0" xfId="0"/>
    <xf numFmtId="166" fontId="7" fillId="0" borderId="31" pivotButton="0" quotePrefix="0" xfId="0"/>
    <xf numFmtId="165" fontId="6" fillId="35" borderId="31" pivotButton="0" quotePrefix="0" xfId="0"/>
    <xf numFmtId="165" fontId="7" fillId="0" borderId="31" pivotButton="0" quotePrefix="0" xfId="0"/>
    <xf numFmtId="166" fontId="7" fillId="0" borderId="32" pivotButton="0" quotePrefix="0" xfId="0"/>
    <xf numFmtId="166" fontId="9" fillId="0" borderId="22" pivotButton="0" quotePrefix="0" xfId="0"/>
    <xf numFmtId="166" fontId="7" fillId="0" borderId="22" pivotButton="0" quotePrefix="0" xfId="0"/>
    <xf numFmtId="165" fontId="6" fillId="35" borderId="22" pivotButton="0" quotePrefix="0" xfId="0"/>
    <xf numFmtId="165" fontId="7" fillId="0" borderId="22" pivotButton="0" quotePrefix="0" xfId="0"/>
    <xf numFmtId="166" fontId="7" fillId="0" borderId="26" pivotButton="0" quotePrefix="0" xfId="0"/>
    <xf numFmtId="166" fontId="8" fillId="34" borderId="28" pivotButton="0" quotePrefix="0" xfId="0"/>
    <xf numFmtId="165" fontId="8" fillId="34" borderId="28" pivotButton="0" quotePrefix="0" xfId="0"/>
    <xf numFmtId="166" fontId="8" fillId="34" borderId="29" pivotButton="0" quotePrefix="0" xfId="0"/>
    <xf numFmtId="166" fontId="6" fillId="35" borderId="31" pivotButton="0" quotePrefix="0" xfId="0"/>
    <xf numFmtId="165" fontId="6" fillId="0" borderId="31" pivotButton="0" quotePrefix="0" xfId="0"/>
    <xf numFmtId="166" fontId="6" fillId="35" borderId="22" pivotButton="0" quotePrefix="0" xfId="0"/>
    <xf numFmtId="165" fontId="6" fillId="0" borderId="22" pivotButton="0" quotePrefix="0" xfId="0"/>
    <xf numFmtId="0" fontId="36" fillId="0" borderId="0" pivotButton="0" quotePrefix="0" xfId="0"/>
    <xf numFmtId="0" fontId="39" fillId="0" borderId="0" pivotButton="0" quotePrefix="0" xfId="0"/>
    <xf numFmtId="164" fontId="5" fillId="0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167" fontId="33" fillId="0" borderId="22" applyAlignment="1" pivotButton="0" quotePrefix="0" xfId="41">
      <alignment horizontal="center" vertical="center" wrapText="1"/>
    </xf>
    <xf numFmtId="167" fontId="6" fillId="0" borderId="22" pivotButton="0" quotePrefix="0" xfId="0"/>
    <xf numFmtId="167" fontId="6" fillId="0" borderId="28" pivotButton="0" quotePrefix="0" xfId="0"/>
    <xf numFmtId="0" fontId="34" fillId="0" borderId="0" pivotButton="0" quotePrefix="0" xfId="0"/>
    <xf numFmtId="0" fontId="35" fillId="0" borderId="0" pivotButton="0" quotePrefix="0" xfId="0"/>
    <xf numFmtId="0" fontId="37" fillId="36" borderId="40" applyAlignment="1" pivotButton="0" quotePrefix="0" xfId="0">
      <alignment horizontal="center" vertical="center" wrapText="1"/>
    </xf>
    <xf numFmtId="0" fontId="38" fillId="0" borderId="40" applyAlignment="1" pivotButton="0" quotePrefix="0" xfId="0">
      <alignment horizontal="left" vertical="center"/>
    </xf>
    <xf numFmtId="168" fontId="38" fillId="0" borderId="40" applyAlignment="1" pivotButton="0" quotePrefix="0" xfId="0">
      <alignment horizontal="right" vertical="center"/>
    </xf>
    <xf numFmtId="3" fontId="38" fillId="0" borderId="40" applyAlignment="1" pivotButton="0" quotePrefix="0" xfId="0">
      <alignment horizontal="right" vertical="center"/>
    </xf>
    <xf numFmtId="165" fontId="38" fillId="0" borderId="40" applyAlignment="1" pivotButton="0" quotePrefix="0" xfId="0">
      <alignment horizontal="right" vertical="center"/>
    </xf>
    <xf numFmtId="0" fontId="37" fillId="37" borderId="40" pivotButton="0" quotePrefix="0" xfId="0"/>
    <xf numFmtId="0" fontId="0" fillId="37" borderId="40" pivotButton="0" quotePrefix="0" xfId="0"/>
    <xf numFmtId="3" fontId="37" fillId="37" borderId="40" applyAlignment="1" pivotButton="0" quotePrefix="0" xfId="0">
      <alignment horizontal="right" vertical="center"/>
    </xf>
    <xf numFmtId="165" fontId="37" fillId="37" borderId="40" applyAlignment="1" pivotButton="0" quotePrefix="0" xfId="0">
      <alignment horizontal="right" vertical="center"/>
    </xf>
    <xf numFmtId="168" fontId="37" fillId="37" borderId="40" applyAlignment="1" pivotButton="0" quotePrefix="0" xfId="0">
      <alignment horizontal="right" vertical="center"/>
    </xf>
    <xf numFmtId="0" fontId="37" fillId="36" borderId="40" applyAlignment="1" pivotButton="0" quotePrefix="0" xfId="0">
      <alignment horizontal="center" vertical="center"/>
    </xf>
    <xf numFmtId="0" fontId="39" fillId="0" borderId="40" pivotButton="0" quotePrefix="0" xfId="0"/>
  </cellXfs>
  <cellStyles count="43">
    <cellStyle name="표준" xfId="0" builtinId="0"/>
    <cellStyle name="제목" xfId="1" builtinId="15"/>
    <cellStyle name="제목 1" xfId="2" builtinId="16"/>
    <cellStyle name="제목 2" xfId="3" builtinId="17"/>
    <cellStyle name="제목 3" xfId="4" builtinId="18"/>
    <cellStyle name="제목 4" xfId="5" builtinId="19"/>
    <cellStyle name="좋음" xfId="6" builtinId="26"/>
    <cellStyle name="나쁨" xfId="7" builtinId="27"/>
    <cellStyle name="보통" xfId="8" builtinId="28"/>
    <cellStyle name="입력" xfId="9" builtinId="20"/>
    <cellStyle name="출력" xfId="10" builtinId="21"/>
    <cellStyle name="계산" xfId="11" builtinId="22"/>
    <cellStyle name="연결된 셀" xfId="12" builtinId="24"/>
    <cellStyle name="셀 확인" xfId="13" builtinId="23"/>
    <cellStyle name="경고문" xfId="14" builtinId="11"/>
    <cellStyle name="설명 텍스트" xfId="15" builtinId="53"/>
    <cellStyle name="요약" xfId="16" builtinId="25"/>
    <cellStyle name="강조색1" xfId="17" builtinId="29"/>
    <cellStyle name="20% - 강조색1" xfId="18" builtinId="30"/>
    <cellStyle name="40% - 강조색1" xfId="19" builtinId="31"/>
    <cellStyle name="60% - 강조색1" xfId="20" builtinId="32"/>
    <cellStyle name="강조색2" xfId="21" builtinId="33"/>
    <cellStyle name="20% - 강조색2" xfId="22" builtinId="34"/>
    <cellStyle name="40% - 강조색2" xfId="23" builtinId="35"/>
    <cellStyle name="60% - 강조색2" xfId="24" builtinId="36"/>
    <cellStyle name="강조색3" xfId="25" builtinId="37"/>
    <cellStyle name="20% - 강조색3" xfId="26" builtinId="38"/>
    <cellStyle name="40% - 강조색3" xfId="27" builtinId="39"/>
    <cellStyle name="60% - 강조색3" xfId="28" builtinId="40"/>
    <cellStyle name="강조색4" xfId="29" builtinId="41"/>
    <cellStyle name="20% - 강조색4" xfId="30" builtinId="42"/>
    <cellStyle name="40% - 강조색4" xfId="31" builtinId="43"/>
    <cellStyle name="60% - 강조색4" xfId="32" builtinId="44"/>
    <cellStyle name="강조색5" xfId="33" builtinId="45"/>
    <cellStyle name="20% - 강조색5" xfId="34" builtinId="46"/>
    <cellStyle name="40% - 강조색5" xfId="35" builtinId="47"/>
    <cellStyle name="60% - 강조색5" xfId="36" builtinId="48"/>
    <cellStyle name="강조색6" xfId="37" builtinId="49"/>
    <cellStyle name="20% - 강조색6" xfId="38" builtinId="50"/>
    <cellStyle name="40% - 강조색6" xfId="39" builtinId="51"/>
    <cellStyle name="60% - 강조색6" xfId="40" builtinId="52"/>
    <cellStyle name="표준 2" xfId="41"/>
    <cellStyle name="메모 2" xfId="42"/>
  </cellStyles>
  <dxfs count="3">
    <dxf>
      <font>
        <name val="맑은 고딕"/>
        <color rgb="FFC55A11"/>
        <sz val="10"/>
      </font>
    </dxf>
    <dxf>
      <font>
        <name val="맑은 고딕"/>
        <b val="1"/>
        <color rgb="FF9C0006"/>
        <sz val="10"/>
      </font>
      <fill>
        <patternFill patternType="solid">
          <fgColor rgb="FFFFC7CE"/>
        </patternFill>
      </fill>
    </dxf>
    <dxf>
      <font>
        <name val="맑은 고딕"/>
        <b val="1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 xml:space="preserve">USD / </a:t>
            </a:r>
            <a:r>
              <a:rPr lang="ko-KR" altLang="en-US"/>
              <a:t>원 월평균</a:t>
            </a:r>
          </a:p>
        </rich>
      </tx>
      <overlay val="0"/>
    </title>
    <plotArea>
      <layout/>
      <lineChart>
        <grouping val="standard"/>
        <varyColors val="1"/>
        <ser>
          <idx val="0"/>
          <order val="0"/>
          <tx>
            <strRef>
              <f>월평균환율!$C$5</f>
              <strCache>
                <ptCount val="1"/>
                <pt idx="0">
                  <v>USD / 원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월평균환율!$B$6:$B$17</f>
              <strCache>
                <ptCount val="12"/>
                <pt idx="0">
                  <v>2026-03</v>
                </pt>
                <pt idx="1">
                  <v>2026-02</v>
                </pt>
                <pt idx="2">
                  <v>2026-01</v>
                </pt>
                <pt idx="3">
                  <v>2026-00</v>
                </pt>
                <pt idx="4">
                  <v>2026-01</v>
                </pt>
                <pt idx="5">
                  <v>2026-02</v>
                </pt>
                <pt idx="6">
                  <v>2026-03</v>
                </pt>
                <pt idx="7">
                  <v>2026-04</v>
                </pt>
                <pt idx="8">
                  <v>2026-05</v>
                </pt>
                <pt idx="9">
                  <v>2026-06</v>
                </pt>
                <pt idx="10">
                  <v>2026-07</v>
                </pt>
                <pt idx="11">
                  <v>2026-08</v>
                </pt>
              </strCache>
            </strRef>
          </cat>
          <val>
            <numRef>
              <f>월평균환율!$C$6:$C$17</f>
              <numCache>
                <formatCode>0.00_);[Red]\(0.00\)</formatCode>
                <ptCount val="12"/>
                <pt idx="0">
                  <v>1391.83</v>
                </pt>
                <pt idx="1">
                  <v>1423.36</v>
                </pt>
                <pt idx="2">
                  <v>1457.77</v>
                </pt>
                <pt idx="3">
                  <v>1467.4</v>
                </pt>
                <pt idx="4">
                  <v>1456.51</v>
                </pt>
                <pt idx="5">
                  <v>1449.32</v>
                </pt>
                <pt idx="6">
                  <v>1486.64</v>
                </pt>
                <pt idx="7">
                  <v>1487.39</v>
                </pt>
                <pt idx="8">
                  <v>1490.11</v>
                </pt>
                <pt idx="9">
                  <v>1527.3</v>
                </pt>
                <pt idx="10">
                  <v>1497.43</v>
                </pt>
                <pt idx="11">
                  <v>1406.3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majorGridlines/>
        <numFmt formatCode="0.00_);[Red]\(0.00\)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 xml:space="preserve">CNY / </a:t>
            </a:r>
            <a:r>
              <a:rPr lang="ko-KR" altLang="en-US"/>
              <a:t>원 월평균</a:t>
            </a:r>
          </a:p>
        </rich>
      </tx>
      <overlay val="0"/>
    </title>
    <plotArea>
      <layout/>
      <lineChart>
        <grouping val="standard"/>
        <varyColors val="1"/>
        <ser>
          <idx val="0"/>
          <order val="0"/>
          <tx>
            <strRef>
              <f>월평균환율!$D$5</f>
              <strCache>
                <ptCount val="1"/>
                <pt idx="0">
                  <v>CNY / 원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월평균환율!$B$6:$B$17</f>
              <strCache>
                <ptCount val="12"/>
                <pt idx="0">
                  <v>2026-03</v>
                </pt>
                <pt idx="1">
                  <v>2026-02</v>
                </pt>
                <pt idx="2">
                  <v>2026-01</v>
                </pt>
                <pt idx="3">
                  <v>2026-00</v>
                </pt>
                <pt idx="4">
                  <v>2026-01</v>
                </pt>
                <pt idx="5">
                  <v>2026-02</v>
                </pt>
                <pt idx="6">
                  <v>2026-03</v>
                </pt>
                <pt idx="7">
                  <v>2026-04</v>
                </pt>
                <pt idx="8">
                  <v>2026-05</v>
                </pt>
                <pt idx="9">
                  <v>2026-06</v>
                </pt>
                <pt idx="10">
                  <v>2026-07</v>
                </pt>
                <pt idx="11">
                  <v>2026-08</v>
                </pt>
              </strCache>
            </strRef>
          </cat>
          <val>
            <numRef>
              <f>월평균환율!$D$6:$D$17</f>
              <numCache>
                <formatCode>0.00_);[Red]\(0.00\)</formatCode>
                <ptCount val="12"/>
                <pt idx="0">
                  <v>195.36</v>
                </pt>
                <pt idx="1">
                  <v>199.82</v>
                </pt>
                <pt idx="2">
                  <v>205.04</v>
                </pt>
                <pt idx="3">
                  <v>208.26</v>
                </pt>
                <pt idx="4">
                  <v>209.08</v>
                </pt>
                <pt idx="5">
                  <v>209.73</v>
                </pt>
                <pt idx="6">
                  <v>215.65</v>
                </pt>
                <pt idx="7">
                  <v>217.41</v>
                </pt>
                <pt idx="8">
                  <v>219.11</v>
                </pt>
                <pt idx="9">
                  <v>225.51</v>
                </pt>
                <pt idx="10">
                  <v>220.94</v>
                </pt>
                <pt idx="11">
                  <v>208.69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majorGridlines/>
        <numFmt formatCode="0.00_);[Red]\(0.00\)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안내</author>
  </authors>
  <commentList>
    <comment ref="C19" authorId="0" shapeId="0">
      <text>
        <t>원가 가산 30%: 입고원가 10,000원 → 판매가 13,000원 (판매가 대비 마진 23.1%)
판매가 마진 30%: 입고원가 10,000원 → 판매가 14,286원 (원가 대비 42.9%)
사내에서 쓰는 정의로 고정하세요.</t>
      </text>
    </comment>
    <comment ref="C26" authorId="0" shapeId="0">
      <text>
        <t>매출 대비: 판관비와 영업이익을 모두 '매출의 몇 %'로 봅니다.
  BEP가   = 매입원가 ÷ (1 − 판관비율)
  기준유통가 = 매입원가 ÷ (1 − 판관비율 − 영업이익률)
  이 방식에서만 BEP가 정확히 영업이익 0원이 되는 지점입니다.
원가 가산: 매입원가에 순서대로 곱합니다.
  BEP가   = 매입원가 × (1 + 판관비율)
  기준유통가 = BEP가 × (1 + 영업이익률)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529590</colOff>
      <row>4</row>
      <rowOff>197433</rowOff>
    </from>
    <ext cx="5271135" cy="5157522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6270172</colOff>
      <row>4</row>
      <rowOff>191718</rowOff>
    </from>
    <ext cx="5271135" cy="5157522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92D050"/>
    <outlinePr summaryBelow="1" summaryRight="1"/>
    <pageSetUpPr/>
  </sheetPr>
  <dimension ref="B2:O51"/>
  <sheetViews>
    <sheetView showGridLines="0" zoomScale="85" zoomScaleNormal="85" workbookViewId="0">
      <selection activeCell="A5" sqref="A5:XFD5"/>
    </sheetView>
  </sheetViews>
  <sheetFormatPr baseColWidth="8" defaultRowHeight="17.4"/>
  <cols>
    <col width="3.69921875" customWidth="1" min="1" max="1"/>
    <col width="39.19921875" customWidth="1" min="2" max="2"/>
    <col width="22.59765625" customWidth="1" min="3" max="3"/>
    <col width="8" customWidth="1" min="4" max="4"/>
    <col width="12" customWidth="1" min="5" max="5"/>
    <col width="9" customWidth="1" min="6" max="6"/>
    <col width="13" customWidth="1" min="7" max="7"/>
    <col width="12" customWidth="1" min="8" max="8"/>
    <col width="9" customWidth="1" min="9" max="9"/>
    <col width="12.796875" customWidth="1" min="10" max="10"/>
    <col width="11.5" customWidth="1" min="11" max="11"/>
    <col width="12" customWidth="1" min="12" max="12"/>
    <col width="9" customWidth="1" min="13" max="13"/>
    <col width="15" customWidth="1" min="14" max="15"/>
  </cols>
  <sheetData>
    <row r="1" ht="15" customHeight="1"/>
    <row r="2" ht="21" customHeight="1">
      <c r="B2" s="1" t="inlineStr">
        <is>
          <t>자재 판매가 산출 — 태성정밀 공급</t>
        </is>
      </c>
      <c r="C2" s="1" t="n"/>
    </row>
    <row r="3">
      <c r="B3" s="5">
        <f>" 적용 환율: "&amp;설정!$C$8&amp;"  ·  USD "&amp;TEXT(설정!$C$11,"#,##0.00")&amp;"  ·  CNY "&amp;TEXT(설정!$C$12,"#,##0.00")&amp;"  ·  부대비용 "&amp;TEXT(설정!$C$17,"0.0%")&amp;"  ·  "&amp;설정!$C$19&amp;" "&amp;TEXT(설정!$C$18,"0.0%")</f>
        <v/>
      </c>
      <c r="C3" s="5" t="n"/>
    </row>
    <row r="4" ht="18" customHeight="1" thickBot="1"/>
    <row r="5" ht="34.95" customHeight="1" thickBot="1">
      <c r="B5" s="74" t="inlineStr">
        <is>
          <t>품목</t>
        </is>
      </c>
      <c r="C5" s="84" t="inlineStr">
        <is>
          <t>품목코드</t>
        </is>
      </c>
      <c r="D5" s="75" t="inlineStr">
        <is>
          <t>통화</t>
        </is>
      </c>
      <c r="E5" s="75" t="inlineStr">
        <is>
          <t>외화 단가</t>
        </is>
      </c>
      <c r="F5" s="75" t="inlineStr">
        <is>
          <t>수량</t>
        </is>
      </c>
      <c r="G5" s="75" t="inlineStr">
        <is>
          <t>원화 환산</t>
        </is>
      </c>
      <c r="H5" s="75" t="inlineStr">
        <is>
          <t>입고원가</t>
        </is>
      </c>
      <c r="I5" s="75" t="inlineStr">
        <is>
          <t>이윤율</t>
        </is>
      </c>
      <c r="J5" s="75" t="inlineStr">
        <is>
          <t>적용 이윤율</t>
        </is>
      </c>
      <c r="K5" s="75" t="inlineStr">
        <is>
          <t>판매단가</t>
        </is>
      </c>
      <c r="L5" s="75" t="inlineStr">
        <is>
          <t>개당 마진</t>
        </is>
      </c>
      <c r="M5" s="75" t="inlineStr">
        <is>
          <t>마진율</t>
        </is>
      </c>
      <c r="N5" s="75" t="inlineStr">
        <is>
          <t>판매 합계</t>
        </is>
      </c>
      <c r="O5" s="76" t="inlineStr">
        <is>
          <t>원가 합계</t>
        </is>
      </c>
    </row>
    <row r="6" ht="18" customHeight="1" thickTop="1">
      <c r="B6" s="64" t="inlineStr">
        <is>
          <t>센서주방몸통(도금)</t>
        </is>
      </c>
      <c r="C6" s="80" t="inlineStr">
        <is>
          <t>710222.0</t>
        </is>
      </c>
      <c r="D6" s="65" t="inlineStr">
        <is>
          <t>USD</t>
        </is>
      </c>
      <c r="E6" s="66" t="n">
        <v>7.5</v>
      </c>
      <c r="F6" s="68" t="n">
        <v>282</v>
      </c>
      <c r="G6" s="85">
        <f>IF(N($E6)=0,"",$E6*IF($D6="USD",설정!$C$11,IF($D6="CNY",설정!$C$12,1)))</f>
        <v/>
      </c>
      <c r="H6" s="86">
        <f>IF($G6="","",$G6*(1+설정!$C$17))</f>
        <v/>
      </c>
      <c r="I6" s="87" t="n"/>
      <c r="J6" s="88">
        <f>IF($G6="","",IF($I6="",설정!$C$18,$I6))</f>
        <v/>
      </c>
      <c r="K6" s="86">
        <f>IF($H6="","",IFERROR(IF(설정!$C$20&lt;=1,ROUND(IF(설정!$C$19="판매가 마진",$H6/(1-$J6),$H6*(1+$J6)),0),CEILING(IF(설정!$C$19="판매가 마진",$H6/(1-$J6),$H6*(1+$J6)),설정!$C$20)),0))</f>
        <v/>
      </c>
      <c r="L6" s="86">
        <f>IF($K6="","",$K6-$H6)</f>
        <v/>
      </c>
      <c r="M6" s="88">
        <f>IF(N($K6)=0,"",$L6/$K6)</f>
        <v/>
      </c>
      <c r="N6" s="86">
        <f>IF($K6="","",$K6*$F6)</f>
        <v/>
      </c>
      <c r="O6" s="89">
        <f>IF($H6="","",$H6*$F6)</f>
        <v/>
      </c>
    </row>
    <row r="7">
      <c r="B7" s="56" t="inlineStr">
        <is>
          <t>IR센서싱크 몸통 / 매트블랙</t>
        </is>
      </c>
      <c r="C7" s="78" t="inlineStr">
        <is>
          <t>710222.B</t>
        </is>
      </c>
      <c r="D7" s="51" t="inlineStr">
        <is>
          <t>USD</t>
        </is>
      </c>
      <c r="E7" s="52" t="n">
        <v>8.199999999999999</v>
      </c>
      <c r="F7" s="53" t="n">
        <v>5</v>
      </c>
      <c r="G7" s="90">
        <f>IF(N($E7)=0,"",$E7*IF($D7="USD",설정!$C$11,IF($D7="CNY",설정!$C$12,1)))</f>
        <v/>
      </c>
      <c r="H7" s="91">
        <f>IF($G7="","",$G7*(1+설정!$C$17))</f>
        <v/>
      </c>
      <c r="I7" s="92" t="n"/>
      <c r="J7" s="93">
        <f>IF($G7="","",IF($I7="",설정!$C$18,$I7))</f>
        <v/>
      </c>
      <c r="K7" s="91">
        <f>IF($H7="","",IFERROR(IF(설정!$C$20&lt;=1,ROUND(IF(설정!$C$19="판매가 마진",$H7/(1-$J7),$H7*(1+$J7)),0),CEILING(IF(설정!$C$19="판매가 마진",$H7/(1-$J7),$H7*(1+$J7)),설정!$C$20)),0))</f>
        <v/>
      </c>
      <c r="L7" s="91">
        <f>IF($K7="","",$K7-$H7)</f>
        <v/>
      </c>
      <c r="M7" s="93">
        <f>IF(N($K7)=0,"",$L7/$K7)</f>
        <v/>
      </c>
      <c r="N7" s="91">
        <f>IF($K7="","",$K7*$F7)</f>
        <v/>
      </c>
      <c r="O7" s="94">
        <f>IF($H7="","",$H7*$F7)</f>
        <v/>
      </c>
    </row>
    <row r="8">
      <c r="B8" s="56" t="inlineStr">
        <is>
          <t>IR센서싱크 몸통 / 브러쉬드니켈</t>
        </is>
      </c>
      <c r="C8" s="78" t="inlineStr">
        <is>
          <t>710222.BN</t>
        </is>
      </c>
      <c r="D8" s="51" t="inlineStr">
        <is>
          <t>USD</t>
        </is>
      </c>
      <c r="E8" s="52" t="n">
        <v>9.9</v>
      </c>
      <c r="F8" s="53" t="n">
        <v>418</v>
      </c>
      <c r="G8" s="90">
        <f>IF(N($E8)=0,"",$E8*IF($D8="USD",설정!$C$11,IF($D8="CNY",설정!$C$12,1)))</f>
        <v/>
      </c>
      <c r="H8" s="91">
        <f>IF($G8="","",$G8*(1+설정!$C$17))</f>
        <v/>
      </c>
      <c r="I8" s="92" t="n"/>
      <c r="J8" s="93">
        <f>IF($G8="","",IF($I8="",설정!$C$18,$I8))</f>
        <v/>
      </c>
      <c r="K8" s="91">
        <f>IF($H8="","",IFERROR(IF(설정!$C$20&lt;=1,ROUND(IF(설정!$C$19="판매가 마진",$H8/(1-$J8),$H8*(1+$J8)),0),CEILING(IF(설정!$C$19="판매가 마진",$H8/(1-$J8),$H8*(1+$J8)),설정!$C$20)),0))</f>
        <v/>
      </c>
      <c r="L8" s="91">
        <f>IF($K8="","",$K8-$H8)</f>
        <v/>
      </c>
      <c r="M8" s="93">
        <f>IF(N($K8)=0,"",$L8/$K8)</f>
        <v/>
      </c>
      <c r="N8" s="91">
        <f>IF($K8="","",$K8*$F8)</f>
        <v/>
      </c>
      <c r="O8" s="94">
        <f>IF($H8="","",$H8*$F8)</f>
        <v/>
      </c>
    </row>
    <row r="9">
      <c r="B9" s="56" t="inlineStr">
        <is>
          <t>IR센서싱크 몸통 / 크롬 / (분리형)</t>
        </is>
      </c>
      <c r="C9" s="78" t="inlineStr">
        <is>
          <t>710224.0</t>
        </is>
      </c>
      <c r="D9" s="51" t="inlineStr">
        <is>
          <t>USD</t>
        </is>
      </c>
      <c r="E9" s="52" t="n">
        <v>8</v>
      </c>
      <c r="F9" s="53" t="n">
        <v>178</v>
      </c>
      <c r="G9" s="90">
        <f>IF(N($E9)=0,"",$E9*IF($D9="USD",설정!$C$11,IF($D9="CNY",설정!$C$12,1)))</f>
        <v/>
      </c>
      <c r="H9" s="91">
        <f>IF($G9="","",$G9*(1+설정!$C$17))</f>
        <v/>
      </c>
      <c r="I9" s="92" t="n"/>
      <c r="J9" s="93">
        <f>IF($G9="","",IF($I9="",설정!$C$18,$I9))</f>
        <v/>
      </c>
      <c r="K9" s="91">
        <f>IF($H9="","",IFERROR(IF(설정!$C$20&lt;=1,ROUND(IF(설정!$C$19="판매가 마진",$H9/(1-$J9),$H9*(1+$J9)),0),CEILING(IF(설정!$C$19="판매가 마진",$H9/(1-$J9),$H9*(1+$J9)),설정!$C$20)),0))</f>
        <v/>
      </c>
      <c r="L9" s="91">
        <f>IF($K9="","",$K9-$H9)</f>
        <v/>
      </c>
      <c r="M9" s="93">
        <f>IF(N($K9)=0,"",$L9/$K9)</f>
        <v/>
      </c>
      <c r="N9" s="91">
        <f>IF($K9="","",$K9*$F9)</f>
        <v/>
      </c>
      <c r="O9" s="94">
        <f>IF($H9="","",$H9*$F9)</f>
        <v/>
      </c>
    </row>
    <row r="10">
      <c r="B10" s="56" t="inlineStr">
        <is>
          <t>IR센서싱크 몸통 / 블랙 / (분리형)</t>
        </is>
      </c>
      <c r="C10" s="78" t="inlineStr">
        <is>
          <t>710224.B</t>
        </is>
      </c>
      <c r="D10" s="51" t="inlineStr">
        <is>
          <t>USD</t>
        </is>
      </c>
      <c r="E10" s="52" t="n">
        <v>8.800000000000001</v>
      </c>
      <c r="F10" s="53" t="n">
        <v>120</v>
      </c>
      <c r="G10" s="90">
        <f>IF(N($E10)=0,"",$E10*IF($D10="USD",설정!$C$11,IF($D10="CNY",설정!$C$12,1)))</f>
        <v/>
      </c>
      <c r="H10" s="91">
        <f>IF($G10="","",$G10*(1+설정!$C$17))</f>
        <v/>
      </c>
      <c r="I10" s="92" t="n"/>
      <c r="J10" s="93">
        <f>IF($G10="","",IF($I10="",설정!$C$18,$I10))</f>
        <v/>
      </c>
      <c r="K10" s="91">
        <f>IF($H10="","",IFERROR(IF(설정!$C$20&lt;=1,ROUND(IF(설정!$C$19="판매가 마진",$H10/(1-$J10),$H10*(1+$J10)),0),CEILING(IF(설정!$C$19="판매가 마진",$H10/(1-$J10),$H10*(1+$J10)),설정!$C$20)),0))</f>
        <v/>
      </c>
      <c r="L10" s="91">
        <f>IF($K10="","",$K10-$H10)</f>
        <v/>
      </c>
      <c r="M10" s="93">
        <f>IF(N($K10)=0,"",$L10/$K10)</f>
        <v/>
      </c>
      <c r="N10" s="91">
        <f>IF($K10="","",$K10*$F10)</f>
        <v/>
      </c>
      <c r="O10" s="94">
        <f>IF($H10="","",$H10*$F10)</f>
        <v/>
      </c>
    </row>
    <row r="11">
      <c r="B11" s="56" t="inlineStr">
        <is>
          <t>IR센서싱크 몸통 / 브러쉬드니켈 / (분리형)</t>
        </is>
      </c>
      <c r="C11" s="78" t="inlineStr">
        <is>
          <t>710224.BN</t>
        </is>
      </c>
      <c r="D11" s="51" t="inlineStr">
        <is>
          <t>USD</t>
        </is>
      </c>
      <c r="E11" s="52" t="n">
        <v>10.2</v>
      </c>
      <c r="F11" s="53" t="n">
        <v>199</v>
      </c>
      <c r="G11" s="90">
        <f>IF(N($E11)=0,"",$E11*IF($D11="USD",설정!$C$11,IF($D11="CNY",설정!$C$12,1)))</f>
        <v/>
      </c>
      <c r="H11" s="91">
        <f>IF($G11="","",$G11*(1+설정!$C$17))</f>
        <v/>
      </c>
      <c r="I11" s="92" t="n"/>
      <c r="J11" s="93">
        <f>IF($G11="","",IF($I11="",설정!$C$18,$I11))</f>
        <v/>
      </c>
      <c r="K11" s="91">
        <f>IF($H11="","",IFERROR(IF(설정!$C$20&lt;=1,ROUND(IF(설정!$C$19="판매가 마진",$H11/(1-$J11),$H11*(1+$J11)),0),CEILING(IF(설정!$C$19="판매가 마진",$H11/(1-$J11),$H11*(1+$J11)),설정!$C$20)),0))</f>
        <v/>
      </c>
      <c r="L11" s="91">
        <f>IF($K11="","",$K11-$H11)</f>
        <v/>
      </c>
      <c r="M11" s="93">
        <f>IF(N($K11)=0,"",$L11/$K11)</f>
        <v/>
      </c>
      <c r="N11" s="91">
        <f>IF($K11="","",$K11*$F11)</f>
        <v/>
      </c>
      <c r="O11" s="94">
        <f>IF($H11="","",$H11*$F11)</f>
        <v/>
      </c>
    </row>
    <row r="12">
      <c r="B12" s="56" t="inlineStr">
        <is>
          <t>일체형터치싱크 몸통 / 크롬</t>
        </is>
      </c>
      <c r="C12" s="78" t="inlineStr">
        <is>
          <t>710232.0</t>
        </is>
      </c>
      <c r="D12" s="51" t="inlineStr">
        <is>
          <t>USD</t>
        </is>
      </c>
      <c r="E12" s="52" t="n">
        <v>8.5</v>
      </c>
      <c r="F12" s="53" t="n">
        <v>300</v>
      </c>
      <c r="G12" s="90">
        <f>IF(N($E12)=0,"",$E12*IF($D12="USD",설정!$C$11,IF($D12="CNY",설정!$C$12,1)))</f>
        <v/>
      </c>
      <c r="H12" s="91">
        <f>IF($G12="","",$G12*(1+설정!$C$17))</f>
        <v/>
      </c>
      <c r="I12" s="92" t="n"/>
      <c r="J12" s="93">
        <f>IF($G12="","",IF($I12="",설정!$C$18,$I12))</f>
        <v/>
      </c>
      <c r="K12" s="91">
        <f>IF($H12="","",IFERROR(IF(설정!$C$20&lt;=1,ROUND(IF(설정!$C$19="판매가 마진",$H12/(1-$J12),$H12*(1+$J12)),0),CEILING(IF(설정!$C$19="판매가 마진",$H12/(1-$J12),$H12*(1+$J12)),설정!$C$20)),0))</f>
        <v/>
      </c>
      <c r="L12" s="91">
        <f>IF($K12="","",$K12-$H12)</f>
        <v/>
      </c>
      <c r="M12" s="93">
        <f>IF(N($K12)=0,"",$L12/$K12)</f>
        <v/>
      </c>
      <c r="N12" s="91">
        <f>IF($K12="","",$K12*$F12)</f>
        <v/>
      </c>
      <c r="O12" s="94">
        <f>IF($H12="","",$H12*$F12)</f>
        <v/>
      </c>
    </row>
    <row r="13">
      <c r="B13" s="56" t="n"/>
      <c r="C13" s="78" t="n"/>
      <c r="D13" s="51" t="n"/>
      <c r="E13" s="52" t="n"/>
      <c r="F13" s="53" t="n"/>
      <c r="G13" s="90">
        <f>IF(N($E13)=0,"",$E13*IF($D13="USD",설정!$C$11,IF($D13="CNY",설정!$C$12,1)))</f>
        <v/>
      </c>
      <c r="H13" s="91">
        <f>IF($G13="","",$G13*(1+설정!$C$17))</f>
        <v/>
      </c>
      <c r="I13" s="92" t="n"/>
      <c r="J13" s="93">
        <f>IF($G13="","",IF($I13="",설정!$C$18,$I13))</f>
        <v/>
      </c>
      <c r="K13" s="91">
        <f>IF($H13="","",IFERROR(IF(설정!$C$20&lt;=1,ROUND(IF(설정!$C$19="판매가 마진",$H13/(1-$J13),$H13*(1+$J13)),0),CEILING(IF(설정!$C$19="판매가 마진",$H13/(1-$J13),$H13*(1+$J13)),설정!$C$20)),0))</f>
        <v/>
      </c>
      <c r="L13" s="91">
        <f>IF($K13="","",$K13-$H13)</f>
        <v/>
      </c>
      <c r="M13" s="93">
        <f>IF(N($K13)=0,"",$L13/$K13)</f>
        <v/>
      </c>
      <c r="N13" s="91">
        <f>IF($K13="","",$K13*$F13)</f>
        <v/>
      </c>
      <c r="O13" s="94">
        <f>IF($H13="","",$H13*$F13)</f>
        <v/>
      </c>
    </row>
    <row r="14">
      <c r="B14" s="56" t="n"/>
      <c r="C14" s="78" t="n"/>
      <c r="D14" s="51" t="n"/>
      <c r="E14" s="52" t="n"/>
      <c r="F14" s="53" t="n"/>
      <c r="G14" s="90">
        <f>IF(N($E14)=0,"",$E14*IF($D14="USD",설정!$C$11,IF($D14="CNY",설정!$C$12,1)))</f>
        <v/>
      </c>
      <c r="H14" s="91">
        <f>IF($G14="","",$G14*(1+설정!$C$17))</f>
        <v/>
      </c>
      <c r="I14" s="92" t="n"/>
      <c r="J14" s="93">
        <f>IF($G14="","",IF($I14="",설정!$C$18,$I14))</f>
        <v/>
      </c>
      <c r="K14" s="91">
        <f>IF($H14="","",IFERROR(IF(설정!$C$20&lt;=1,ROUND(IF(설정!$C$19="판매가 마진",$H14/(1-$J14),$H14*(1+$J14)),0),CEILING(IF(설정!$C$19="판매가 마진",$H14/(1-$J14),$H14*(1+$J14)),설정!$C$20)),0))</f>
        <v/>
      </c>
      <c r="L14" s="91">
        <f>IF($K14="","",$K14-$H14)</f>
        <v/>
      </c>
      <c r="M14" s="93">
        <f>IF(N($K14)=0,"",$L14/$K14)</f>
        <v/>
      </c>
      <c r="N14" s="91">
        <f>IF($K14="","",$K14*$F14)</f>
        <v/>
      </c>
      <c r="O14" s="94">
        <f>IF($H14="","",$H14*$F14)</f>
        <v/>
      </c>
    </row>
    <row r="15">
      <c r="B15" s="56" t="n"/>
      <c r="C15" s="78" t="n"/>
      <c r="D15" s="51" t="n"/>
      <c r="E15" s="52" t="n"/>
      <c r="F15" s="53" t="n"/>
      <c r="G15" s="90">
        <f>IF(N($E15)=0,"",$E15*IF($D15="USD",설정!$C$11,IF($D15="CNY",설정!$C$12,1)))</f>
        <v/>
      </c>
      <c r="H15" s="91">
        <f>IF($G15="","",$G15*(1+설정!$C$17))</f>
        <v/>
      </c>
      <c r="I15" s="92" t="n"/>
      <c r="J15" s="93">
        <f>IF($G15="","",IF($I15="",설정!$C$18,$I15))</f>
        <v/>
      </c>
      <c r="K15" s="91">
        <f>IF($H15="","",IFERROR(IF(설정!$C$20&lt;=1,ROUND(IF(설정!$C$19="판매가 마진",$H15/(1-$J15),$H15*(1+$J15)),0),CEILING(IF(설정!$C$19="판매가 마진",$H15/(1-$J15),$H15*(1+$J15)),설정!$C$20)),0))</f>
        <v/>
      </c>
      <c r="L15" s="91">
        <f>IF($K15="","",$K15-$H15)</f>
        <v/>
      </c>
      <c r="M15" s="93">
        <f>IF(N($K15)=0,"",$L15/$K15)</f>
        <v/>
      </c>
      <c r="N15" s="91">
        <f>IF($K15="","",$K15*$F15)</f>
        <v/>
      </c>
      <c r="O15" s="94">
        <f>IF($H15="","",$H15*$F15)</f>
        <v/>
      </c>
    </row>
    <row r="16">
      <c r="B16" s="56" t="n"/>
      <c r="C16" s="78" t="n"/>
      <c r="D16" s="51" t="n"/>
      <c r="E16" s="52" t="n"/>
      <c r="F16" s="53" t="n"/>
      <c r="G16" s="90">
        <f>IF(N($E16)=0,"",$E16*IF($D16="USD",설정!$C$11,IF($D16="CNY",설정!$C$12,1)))</f>
        <v/>
      </c>
      <c r="H16" s="91">
        <f>IF($G16="","",$G16*(1+설정!$C$17))</f>
        <v/>
      </c>
      <c r="I16" s="92" t="n"/>
      <c r="J16" s="93">
        <f>IF($G16="","",IF($I16="",설정!$C$18,$I16))</f>
        <v/>
      </c>
      <c r="K16" s="91">
        <f>IF($H16="","",IFERROR(IF(설정!$C$20&lt;=1,ROUND(IF(설정!$C$19="판매가 마진",$H16/(1-$J16),$H16*(1+$J16)),0),CEILING(IF(설정!$C$19="판매가 마진",$H16/(1-$J16),$H16*(1+$J16)),설정!$C$20)),0))</f>
        <v/>
      </c>
      <c r="L16" s="91">
        <f>IF($K16="","",$K16-$H16)</f>
        <v/>
      </c>
      <c r="M16" s="93">
        <f>IF(N($K16)=0,"",$L16/$K16)</f>
        <v/>
      </c>
      <c r="N16" s="91">
        <f>IF($K16="","",$K16*$F16)</f>
        <v/>
      </c>
      <c r="O16" s="94">
        <f>IF($H16="","",$H16*$F16)</f>
        <v/>
      </c>
    </row>
    <row r="17">
      <c r="B17" s="56" t="n"/>
      <c r="C17" s="78" t="n"/>
      <c r="D17" s="51" t="n"/>
      <c r="E17" s="52" t="n"/>
      <c r="F17" s="53" t="n"/>
      <c r="G17" s="90">
        <f>IF(N($E17)=0,"",$E17*IF($D17="USD",설정!$C$11,IF($D17="CNY",설정!$C$12,1)))</f>
        <v/>
      </c>
      <c r="H17" s="91">
        <f>IF($G17="","",$G17*(1+설정!$C$17))</f>
        <v/>
      </c>
      <c r="I17" s="92" t="n"/>
      <c r="J17" s="93">
        <f>IF($G17="","",IF($I17="",설정!$C$18,$I17))</f>
        <v/>
      </c>
      <c r="K17" s="91">
        <f>IF($H17="","",IFERROR(IF(설정!$C$20&lt;=1,ROUND(IF(설정!$C$19="판매가 마진",$H17/(1-$J17),$H17*(1+$J17)),0),CEILING(IF(설정!$C$19="판매가 마진",$H17/(1-$J17),$H17*(1+$J17)),설정!$C$20)),0))</f>
        <v/>
      </c>
      <c r="L17" s="91">
        <f>IF($K17="","",$K17-$H17)</f>
        <v/>
      </c>
      <c r="M17" s="93">
        <f>IF(N($K17)=0,"",$L17/$K17)</f>
        <v/>
      </c>
      <c r="N17" s="91">
        <f>IF($K17="","",$K17*$F17)</f>
        <v/>
      </c>
      <c r="O17" s="94">
        <f>IF($H17="","",$H17*$F17)</f>
        <v/>
      </c>
    </row>
    <row r="18">
      <c r="B18" s="56" t="n"/>
      <c r="C18" s="78" t="n"/>
      <c r="D18" s="51" t="n"/>
      <c r="E18" s="52" t="n"/>
      <c r="F18" s="53" t="n"/>
      <c r="G18" s="90">
        <f>IF(N($E18)=0,"",$E18*IF($D18="USD",설정!$C$11,IF($D18="CNY",설정!$C$12,1)))</f>
        <v/>
      </c>
      <c r="H18" s="91">
        <f>IF($G18="","",$G18*(1+설정!$C$17))</f>
        <v/>
      </c>
      <c r="I18" s="92" t="n"/>
      <c r="J18" s="93">
        <f>IF($G18="","",IF($I18="",설정!$C$18,$I18))</f>
        <v/>
      </c>
      <c r="K18" s="91">
        <f>IF($H18="","",IFERROR(IF(설정!$C$20&lt;=1,ROUND(IF(설정!$C$19="판매가 마진",$H18/(1-$J18),$H18*(1+$J18)),0),CEILING(IF(설정!$C$19="판매가 마진",$H18/(1-$J18),$H18*(1+$J18)),설정!$C$20)),0))</f>
        <v/>
      </c>
      <c r="L18" s="91">
        <f>IF($K18="","",$K18-$H18)</f>
        <v/>
      </c>
      <c r="M18" s="93">
        <f>IF(N($K18)=0,"",$L18/$K18)</f>
        <v/>
      </c>
      <c r="N18" s="91">
        <f>IF($K18="","",$K18*$F18)</f>
        <v/>
      </c>
      <c r="O18" s="94">
        <f>IF($H18="","",$H18*$F18)</f>
        <v/>
      </c>
    </row>
    <row r="19">
      <c r="B19" s="56" t="n"/>
      <c r="C19" s="78" t="n"/>
      <c r="D19" s="51" t="n"/>
      <c r="E19" s="52" t="n"/>
      <c r="F19" s="53" t="n"/>
      <c r="G19" s="90">
        <f>IF(N($E19)=0,"",$E19*IF($D19="USD",설정!$C$11,IF($D19="CNY",설정!$C$12,1)))</f>
        <v/>
      </c>
      <c r="H19" s="91">
        <f>IF($G19="","",$G19*(1+설정!$C$17))</f>
        <v/>
      </c>
      <c r="I19" s="92" t="n"/>
      <c r="J19" s="93">
        <f>IF($G19="","",IF($I19="",설정!$C$18,$I19))</f>
        <v/>
      </c>
      <c r="K19" s="91">
        <f>IF($H19="","",IFERROR(IF(설정!$C$20&lt;=1,ROUND(IF(설정!$C$19="판매가 마진",$H19/(1-$J19),$H19*(1+$J19)),0),CEILING(IF(설정!$C$19="판매가 마진",$H19/(1-$J19),$H19*(1+$J19)),설정!$C$20)),0))</f>
        <v/>
      </c>
      <c r="L19" s="91">
        <f>IF($K19="","",$K19-$H19)</f>
        <v/>
      </c>
      <c r="M19" s="93">
        <f>IF(N($K19)=0,"",$L19/$K19)</f>
        <v/>
      </c>
      <c r="N19" s="91">
        <f>IF($K19="","",$K19*$F19)</f>
        <v/>
      </c>
      <c r="O19" s="94">
        <f>IF($H19="","",$H19*$F19)</f>
        <v/>
      </c>
    </row>
    <row r="20">
      <c r="B20" s="56" t="n"/>
      <c r="C20" s="78" t="n"/>
      <c r="D20" s="51" t="n"/>
      <c r="E20" s="52" t="n"/>
      <c r="F20" s="53" t="n"/>
      <c r="G20" s="90">
        <f>IF(N($E20)=0,"",$E20*IF($D20="USD",설정!$C$11,IF($D20="CNY",설정!$C$12,1)))</f>
        <v/>
      </c>
      <c r="H20" s="91">
        <f>IF($G20="","",$G20*(1+설정!$C$17))</f>
        <v/>
      </c>
      <c r="I20" s="92" t="n"/>
      <c r="J20" s="93">
        <f>IF($G20="","",IF($I20="",설정!$C$18,$I20))</f>
        <v/>
      </c>
      <c r="K20" s="91">
        <f>IF($H20="","",IFERROR(IF(설정!$C$20&lt;=1,ROUND(IF(설정!$C$19="판매가 마진",$H20/(1-$J20),$H20*(1+$J20)),0),CEILING(IF(설정!$C$19="판매가 마진",$H20/(1-$J20),$H20*(1+$J20)),설정!$C$20)),0))</f>
        <v/>
      </c>
      <c r="L20" s="91">
        <f>IF($K20="","",$K20-$H20)</f>
        <v/>
      </c>
      <c r="M20" s="93">
        <f>IF(N($K20)=0,"",$L20/$K20)</f>
        <v/>
      </c>
      <c r="N20" s="91">
        <f>IF($K20="","",$K20*$F20)</f>
        <v/>
      </c>
      <c r="O20" s="94">
        <f>IF($H20="","",$H20*$F20)</f>
        <v/>
      </c>
    </row>
    <row r="21">
      <c r="B21" s="56" t="n"/>
      <c r="C21" s="78" t="n"/>
      <c r="D21" s="51" t="n"/>
      <c r="E21" s="52" t="n"/>
      <c r="F21" s="53" t="n"/>
      <c r="G21" s="90">
        <f>IF(N($E21)=0,"",$E21*IF($D21="USD",설정!$C$11,IF($D21="CNY",설정!$C$12,1)))</f>
        <v/>
      </c>
      <c r="H21" s="91">
        <f>IF($G21="","",$G21*(1+설정!$C$17))</f>
        <v/>
      </c>
      <c r="I21" s="92" t="n"/>
      <c r="J21" s="93">
        <f>IF($G21="","",IF($I21="",설정!$C$18,$I21))</f>
        <v/>
      </c>
      <c r="K21" s="91">
        <f>IF($H21="","",IFERROR(IF(설정!$C$20&lt;=1,ROUND(IF(설정!$C$19="판매가 마진",$H21/(1-$J21),$H21*(1+$J21)),0),CEILING(IF(설정!$C$19="판매가 마진",$H21/(1-$J21),$H21*(1+$J21)),설정!$C$20)),0))</f>
        <v/>
      </c>
      <c r="L21" s="91">
        <f>IF($K21="","",$K21-$H21)</f>
        <v/>
      </c>
      <c r="M21" s="93">
        <f>IF(N($K21)=0,"",$L21/$K21)</f>
        <v/>
      </c>
      <c r="N21" s="91">
        <f>IF($K21="","",$K21*$F21)</f>
        <v/>
      </c>
      <c r="O21" s="94">
        <f>IF($H21="","",$H21*$F21)</f>
        <v/>
      </c>
    </row>
    <row r="22">
      <c r="B22" s="56" t="n"/>
      <c r="C22" s="78" t="n"/>
      <c r="D22" s="51" t="n"/>
      <c r="E22" s="52" t="n"/>
      <c r="F22" s="53" t="n"/>
      <c r="G22" s="90">
        <f>IF(N($E22)=0,"",$E22*IF($D22="USD",설정!$C$11,IF($D22="CNY",설정!$C$12,1)))</f>
        <v/>
      </c>
      <c r="H22" s="91">
        <f>IF($G22="","",$G22*(1+설정!$C$17))</f>
        <v/>
      </c>
      <c r="I22" s="92" t="n"/>
      <c r="J22" s="93">
        <f>IF($G22="","",IF($I22="",설정!$C$18,$I22))</f>
        <v/>
      </c>
      <c r="K22" s="91">
        <f>IF($H22="","",IFERROR(IF(설정!$C$20&lt;=1,ROUND(IF(설정!$C$19="판매가 마진",$H22/(1-$J22),$H22*(1+$J22)),0),CEILING(IF(설정!$C$19="판매가 마진",$H22/(1-$J22),$H22*(1+$J22)),설정!$C$20)),0))</f>
        <v/>
      </c>
      <c r="L22" s="91">
        <f>IF($K22="","",$K22-$H22)</f>
        <v/>
      </c>
      <c r="M22" s="93">
        <f>IF(N($K22)=0,"",$L22/$K22)</f>
        <v/>
      </c>
      <c r="N22" s="91">
        <f>IF($K22="","",$K22*$F22)</f>
        <v/>
      </c>
      <c r="O22" s="94">
        <f>IF($H22="","",$H22*$F22)</f>
        <v/>
      </c>
    </row>
    <row r="23">
      <c r="B23" s="56" t="n"/>
      <c r="C23" s="78" t="n"/>
      <c r="D23" s="51" t="n"/>
      <c r="E23" s="52" t="n"/>
      <c r="F23" s="53" t="n"/>
      <c r="G23" s="90">
        <f>IF(N($E23)=0,"",$E23*IF($D23="USD",설정!$C$11,IF($D23="CNY",설정!$C$12,1)))</f>
        <v/>
      </c>
      <c r="H23" s="91">
        <f>IF($G23="","",$G23*(1+설정!$C$17))</f>
        <v/>
      </c>
      <c r="I23" s="92" t="n"/>
      <c r="J23" s="93">
        <f>IF($G23="","",IF($I23="",설정!$C$18,$I23))</f>
        <v/>
      </c>
      <c r="K23" s="91">
        <f>IF($H23="","",IFERROR(IF(설정!$C$20&lt;=1,ROUND(IF(설정!$C$19="판매가 마진",$H23/(1-$J23),$H23*(1+$J23)),0),CEILING(IF(설정!$C$19="판매가 마진",$H23/(1-$J23),$H23*(1+$J23)),설정!$C$20)),0))</f>
        <v/>
      </c>
      <c r="L23" s="91">
        <f>IF($K23="","",$K23-$H23)</f>
        <v/>
      </c>
      <c r="M23" s="93">
        <f>IF(N($K23)=0,"",$L23/$K23)</f>
        <v/>
      </c>
      <c r="N23" s="91">
        <f>IF($K23="","",$K23*$F23)</f>
        <v/>
      </c>
      <c r="O23" s="94">
        <f>IF($H23="","",$H23*$F23)</f>
        <v/>
      </c>
    </row>
    <row r="24">
      <c r="B24" s="56" t="n"/>
      <c r="C24" s="78" t="n"/>
      <c r="D24" s="51" t="n"/>
      <c r="E24" s="52" t="n"/>
      <c r="F24" s="53" t="n"/>
      <c r="G24" s="90">
        <f>IF(N($E24)=0,"",$E24*IF($D24="USD",설정!$C$11,IF($D24="CNY",설정!$C$12,1)))</f>
        <v/>
      </c>
      <c r="H24" s="91">
        <f>IF($G24="","",$G24*(1+설정!$C$17))</f>
        <v/>
      </c>
      <c r="I24" s="92" t="n"/>
      <c r="J24" s="93">
        <f>IF($G24="","",IF($I24="",설정!$C$18,$I24))</f>
        <v/>
      </c>
      <c r="K24" s="91">
        <f>IF($H24="","",IFERROR(IF(설정!$C$20&lt;=1,ROUND(IF(설정!$C$19="판매가 마진",$H24/(1-$J24),$H24*(1+$J24)),0),CEILING(IF(설정!$C$19="판매가 마진",$H24/(1-$J24),$H24*(1+$J24)),설정!$C$20)),0))</f>
        <v/>
      </c>
      <c r="L24" s="91">
        <f>IF($K24="","",$K24-$H24)</f>
        <v/>
      </c>
      <c r="M24" s="93">
        <f>IF(N($K24)=0,"",$L24/$K24)</f>
        <v/>
      </c>
      <c r="N24" s="91">
        <f>IF($K24="","",$K24*$F24)</f>
        <v/>
      </c>
      <c r="O24" s="94">
        <f>IF($H24="","",$H24*$F24)</f>
        <v/>
      </c>
    </row>
    <row r="25">
      <c r="B25" s="56" t="n"/>
      <c r="C25" s="78" t="n"/>
      <c r="D25" s="51" t="n"/>
      <c r="E25" s="52" t="n"/>
      <c r="F25" s="53" t="n"/>
      <c r="G25" s="90">
        <f>IF(N($E25)=0,"",$E25*IF($D25="USD",설정!$C$11,IF($D25="CNY",설정!$C$12,1)))</f>
        <v/>
      </c>
      <c r="H25" s="91">
        <f>IF($G25="","",$G25*(1+설정!$C$17))</f>
        <v/>
      </c>
      <c r="I25" s="92" t="n"/>
      <c r="J25" s="93">
        <f>IF($G25="","",IF($I25="",설정!$C$18,$I25))</f>
        <v/>
      </c>
      <c r="K25" s="91">
        <f>IF($H25="","",IFERROR(IF(설정!$C$20&lt;=1,ROUND(IF(설정!$C$19="판매가 마진",$H25/(1-$J25),$H25*(1+$J25)),0),CEILING(IF(설정!$C$19="판매가 마진",$H25/(1-$J25),$H25*(1+$J25)),설정!$C$20)),0))</f>
        <v/>
      </c>
      <c r="L25" s="91">
        <f>IF($K25="","",$K25-$H25)</f>
        <v/>
      </c>
      <c r="M25" s="93">
        <f>IF(N($K25)=0,"",$L25/$K25)</f>
        <v/>
      </c>
      <c r="N25" s="91">
        <f>IF($K25="","",$K25*$F25)</f>
        <v/>
      </c>
      <c r="O25" s="94">
        <f>IF($H25="","",$H25*$F25)</f>
        <v/>
      </c>
    </row>
    <row r="26">
      <c r="B26" s="56" t="n"/>
      <c r="C26" s="78" t="n"/>
      <c r="D26" s="51" t="n"/>
      <c r="E26" s="52" t="n"/>
      <c r="F26" s="53" t="n"/>
      <c r="G26" s="90">
        <f>IF(N($E26)=0,"",$E26*IF($D26="USD",설정!$C$11,IF($D26="CNY",설정!$C$12,1)))</f>
        <v/>
      </c>
      <c r="H26" s="91">
        <f>IF($G26="","",$G26*(1+설정!$C$17))</f>
        <v/>
      </c>
      <c r="I26" s="92" t="n"/>
      <c r="J26" s="93">
        <f>IF($G26="","",IF($I26="",설정!$C$18,$I26))</f>
        <v/>
      </c>
      <c r="K26" s="91">
        <f>IF($H26="","",IFERROR(IF(설정!$C$20&lt;=1,ROUND(IF(설정!$C$19="판매가 마진",$H26/(1-$J26),$H26*(1+$J26)),0),CEILING(IF(설정!$C$19="판매가 마진",$H26/(1-$J26),$H26*(1+$J26)),설정!$C$20)),0))</f>
        <v/>
      </c>
      <c r="L26" s="91">
        <f>IF($K26="","",$K26-$H26)</f>
        <v/>
      </c>
      <c r="M26" s="93">
        <f>IF(N($K26)=0,"",$L26/$K26)</f>
        <v/>
      </c>
      <c r="N26" s="91">
        <f>IF($K26="","",$K26*$F26)</f>
        <v/>
      </c>
      <c r="O26" s="94">
        <f>IF($H26="","",$H26*$F26)</f>
        <v/>
      </c>
    </row>
    <row r="27">
      <c r="B27" s="56" t="n"/>
      <c r="C27" s="78" t="n"/>
      <c r="D27" s="51" t="n"/>
      <c r="E27" s="52" t="n"/>
      <c r="F27" s="53" t="n"/>
      <c r="G27" s="90">
        <f>IF(N($E27)=0,"",$E27*IF($D27="USD",설정!$C$11,IF($D27="CNY",설정!$C$12,1)))</f>
        <v/>
      </c>
      <c r="H27" s="91">
        <f>IF($G27="","",$G27*(1+설정!$C$17))</f>
        <v/>
      </c>
      <c r="I27" s="92" t="n"/>
      <c r="J27" s="93">
        <f>IF($G27="","",IF($I27="",설정!$C$18,$I27))</f>
        <v/>
      </c>
      <c r="K27" s="91">
        <f>IF($H27="","",IFERROR(IF(설정!$C$20&lt;=1,ROUND(IF(설정!$C$19="판매가 마진",$H27/(1-$J27),$H27*(1+$J27)),0),CEILING(IF(설정!$C$19="판매가 마진",$H27/(1-$J27),$H27*(1+$J27)),설정!$C$20)),0))</f>
        <v/>
      </c>
      <c r="L27" s="91">
        <f>IF($K27="","",$K27-$H27)</f>
        <v/>
      </c>
      <c r="M27" s="93">
        <f>IF(N($K27)=0,"",$L27/$K27)</f>
        <v/>
      </c>
      <c r="N27" s="91">
        <f>IF($K27="","",$K27*$F27)</f>
        <v/>
      </c>
      <c r="O27" s="94">
        <f>IF($H27="","",$H27*$F27)</f>
        <v/>
      </c>
    </row>
    <row r="28">
      <c r="B28" s="56" t="n"/>
      <c r="C28" s="78" t="n"/>
      <c r="D28" s="51" t="n"/>
      <c r="E28" s="52" t="n"/>
      <c r="F28" s="53" t="n"/>
      <c r="G28" s="90">
        <f>IF(N($E28)=0,"",$E28*IF($D28="USD",설정!$C$11,IF($D28="CNY",설정!$C$12,1)))</f>
        <v/>
      </c>
      <c r="H28" s="91">
        <f>IF($G28="","",$G28*(1+설정!$C$17))</f>
        <v/>
      </c>
      <c r="I28" s="92" t="n"/>
      <c r="J28" s="93">
        <f>IF($G28="","",IF($I28="",설정!$C$18,$I28))</f>
        <v/>
      </c>
      <c r="K28" s="91">
        <f>IF($H28="","",IFERROR(IF(설정!$C$20&lt;=1,ROUND(IF(설정!$C$19="판매가 마진",$H28/(1-$J28),$H28*(1+$J28)),0),CEILING(IF(설정!$C$19="판매가 마진",$H28/(1-$J28),$H28*(1+$J28)),설정!$C$20)),0))</f>
        <v/>
      </c>
      <c r="L28" s="91">
        <f>IF($K28="","",$K28-$H28)</f>
        <v/>
      </c>
      <c r="M28" s="93">
        <f>IF(N($K28)=0,"",$L28/$K28)</f>
        <v/>
      </c>
      <c r="N28" s="91">
        <f>IF($K28="","",$K28*$F28)</f>
        <v/>
      </c>
      <c r="O28" s="94">
        <f>IF($H28="","",$H28*$F28)</f>
        <v/>
      </c>
    </row>
    <row r="29">
      <c r="B29" s="56" t="n"/>
      <c r="C29" s="78" t="n"/>
      <c r="D29" s="51" t="n"/>
      <c r="E29" s="52" t="n"/>
      <c r="F29" s="53" t="n"/>
      <c r="G29" s="90">
        <f>IF(N($E29)=0,"",$E29*IF($D29="USD",설정!$C$11,IF($D29="CNY",설정!$C$12,1)))</f>
        <v/>
      </c>
      <c r="H29" s="91">
        <f>IF($G29="","",$G29*(1+설정!$C$17))</f>
        <v/>
      </c>
      <c r="I29" s="92" t="n"/>
      <c r="J29" s="93">
        <f>IF($G29="","",IF($I29="",설정!$C$18,$I29))</f>
        <v/>
      </c>
      <c r="K29" s="91">
        <f>IF($H29="","",IFERROR(IF(설정!$C$20&lt;=1,ROUND(IF(설정!$C$19="판매가 마진",$H29/(1-$J29),$H29*(1+$J29)),0),CEILING(IF(설정!$C$19="판매가 마진",$H29/(1-$J29),$H29*(1+$J29)),설정!$C$20)),0))</f>
        <v/>
      </c>
      <c r="L29" s="91">
        <f>IF($K29="","",$K29-$H29)</f>
        <v/>
      </c>
      <c r="M29" s="93">
        <f>IF(N($K29)=0,"",$L29/$K29)</f>
        <v/>
      </c>
      <c r="N29" s="91">
        <f>IF($K29="","",$K29*$F29)</f>
        <v/>
      </c>
      <c r="O29" s="94">
        <f>IF($H29="","",$H29*$F29)</f>
        <v/>
      </c>
    </row>
    <row r="30">
      <c r="B30" s="56" t="n"/>
      <c r="C30" s="78" t="n"/>
      <c r="D30" s="51" t="n"/>
      <c r="E30" s="52" t="n"/>
      <c r="F30" s="53" t="n"/>
      <c r="G30" s="90">
        <f>IF(N($E30)=0,"",$E30*IF($D30="USD",설정!$C$11,IF($D30="CNY",설정!$C$12,1)))</f>
        <v/>
      </c>
      <c r="H30" s="91">
        <f>IF($G30="","",$G30*(1+설정!$C$17))</f>
        <v/>
      </c>
      <c r="I30" s="92" t="n"/>
      <c r="J30" s="93">
        <f>IF($G30="","",IF($I30="",설정!$C$18,$I30))</f>
        <v/>
      </c>
      <c r="K30" s="91">
        <f>IF($H30="","",IFERROR(IF(설정!$C$20&lt;=1,ROUND(IF(설정!$C$19="판매가 마진",$H30/(1-$J30),$H30*(1+$J30)),0),CEILING(IF(설정!$C$19="판매가 마진",$H30/(1-$J30),$H30*(1+$J30)),설정!$C$20)),0))</f>
        <v/>
      </c>
      <c r="L30" s="91">
        <f>IF($K30="","",$K30-$H30)</f>
        <v/>
      </c>
      <c r="M30" s="93">
        <f>IF(N($K30)=0,"",$L30/$K30)</f>
        <v/>
      </c>
      <c r="N30" s="91">
        <f>IF($K30="","",$K30*$F30)</f>
        <v/>
      </c>
      <c r="O30" s="94">
        <f>IF($H30="","",$H30*$F30)</f>
        <v/>
      </c>
    </row>
    <row r="31">
      <c r="B31" s="56" t="n"/>
      <c r="C31" s="78" t="n"/>
      <c r="D31" s="51" t="n"/>
      <c r="E31" s="52" t="n"/>
      <c r="F31" s="53" t="n"/>
      <c r="G31" s="90">
        <f>IF(N($E31)=0,"",$E31*IF($D31="USD",설정!$C$11,IF($D31="CNY",설정!$C$12,1)))</f>
        <v/>
      </c>
      <c r="H31" s="91">
        <f>IF($G31="","",$G31*(1+설정!$C$17))</f>
        <v/>
      </c>
      <c r="I31" s="92" t="n"/>
      <c r="J31" s="93">
        <f>IF($G31="","",IF($I31="",설정!$C$18,$I31))</f>
        <v/>
      </c>
      <c r="K31" s="91">
        <f>IF($H31="","",IFERROR(IF(설정!$C$20&lt;=1,ROUND(IF(설정!$C$19="판매가 마진",$H31/(1-$J31),$H31*(1+$J31)),0),CEILING(IF(설정!$C$19="판매가 마진",$H31/(1-$J31),$H31*(1+$J31)),설정!$C$20)),0))</f>
        <v/>
      </c>
      <c r="L31" s="91">
        <f>IF($K31="","",$K31-$H31)</f>
        <v/>
      </c>
      <c r="M31" s="93">
        <f>IF(N($K31)=0,"",$L31/$K31)</f>
        <v/>
      </c>
      <c r="N31" s="91">
        <f>IF($K31="","",$K31*$F31)</f>
        <v/>
      </c>
      <c r="O31" s="94">
        <f>IF($H31="","",$H31*$F31)</f>
        <v/>
      </c>
    </row>
    <row r="32">
      <c r="B32" s="56" t="n"/>
      <c r="C32" s="78" t="n"/>
      <c r="D32" s="51" t="n"/>
      <c r="E32" s="52" t="n"/>
      <c r="F32" s="53" t="n"/>
      <c r="G32" s="90">
        <f>IF(N($E32)=0,"",$E32*IF($D32="USD",설정!$C$11,IF($D32="CNY",설정!$C$12,1)))</f>
        <v/>
      </c>
      <c r="H32" s="91">
        <f>IF($G32="","",$G32*(1+설정!$C$17))</f>
        <v/>
      </c>
      <c r="I32" s="92" t="n"/>
      <c r="J32" s="93">
        <f>IF($G32="","",IF($I32="",설정!$C$18,$I32))</f>
        <v/>
      </c>
      <c r="K32" s="91">
        <f>IF($H32="","",IFERROR(IF(설정!$C$20&lt;=1,ROUND(IF(설정!$C$19="판매가 마진",$H32/(1-$J32),$H32*(1+$J32)),0),CEILING(IF(설정!$C$19="판매가 마진",$H32/(1-$J32),$H32*(1+$J32)),설정!$C$20)),0))</f>
        <v/>
      </c>
      <c r="L32" s="91">
        <f>IF($K32="","",$K32-$H32)</f>
        <v/>
      </c>
      <c r="M32" s="93">
        <f>IF(N($K32)=0,"",$L32/$K32)</f>
        <v/>
      </c>
      <c r="N32" s="91">
        <f>IF($K32="","",$K32*$F32)</f>
        <v/>
      </c>
      <c r="O32" s="94">
        <f>IF($H32="","",$H32*$F32)</f>
        <v/>
      </c>
    </row>
    <row r="33">
      <c r="B33" s="56" t="n"/>
      <c r="C33" s="78" t="n"/>
      <c r="D33" s="51" t="n"/>
      <c r="E33" s="52" t="n"/>
      <c r="F33" s="53" t="n"/>
      <c r="G33" s="90">
        <f>IF(N($E33)=0,"",$E33*IF($D33="USD",설정!$C$11,IF($D33="CNY",설정!$C$12,1)))</f>
        <v/>
      </c>
      <c r="H33" s="91">
        <f>IF($G33="","",$G33*(1+설정!$C$17))</f>
        <v/>
      </c>
      <c r="I33" s="92" t="n"/>
      <c r="J33" s="93">
        <f>IF($G33="","",IF($I33="",설정!$C$18,$I33))</f>
        <v/>
      </c>
      <c r="K33" s="91">
        <f>IF($H33="","",IFERROR(IF(설정!$C$20&lt;=1,ROUND(IF(설정!$C$19="판매가 마진",$H33/(1-$J33),$H33*(1+$J33)),0),CEILING(IF(설정!$C$19="판매가 마진",$H33/(1-$J33),$H33*(1+$J33)),설정!$C$20)),0))</f>
        <v/>
      </c>
      <c r="L33" s="91">
        <f>IF($K33="","",$K33-$H33)</f>
        <v/>
      </c>
      <c r="M33" s="93">
        <f>IF(N($K33)=0,"",$L33/$K33)</f>
        <v/>
      </c>
      <c r="N33" s="91">
        <f>IF($K33="","",$K33*$F33)</f>
        <v/>
      </c>
      <c r="O33" s="94">
        <f>IF($H33="","",$H33*$F33)</f>
        <v/>
      </c>
    </row>
    <row r="34">
      <c r="B34" s="56" t="n"/>
      <c r="C34" s="78" t="n"/>
      <c r="D34" s="51" t="n"/>
      <c r="E34" s="52" t="n"/>
      <c r="F34" s="53" t="n"/>
      <c r="G34" s="90">
        <f>IF(N($E34)=0,"",$E34*IF($D34="USD",설정!$C$11,IF($D34="CNY",설정!$C$12,1)))</f>
        <v/>
      </c>
      <c r="H34" s="91">
        <f>IF($G34="","",$G34*(1+설정!$C$17))</f>
        <v/>
      </c>
      <c r="I34" s="92" t="n"/>
      <c r="J34" s="93">
        <f>IF($G34="","",IF($I34="",설정!$C$18,$I34))</f>
        <v/>
      </c>
      <c r="K34" s="91">
        <f>IF($H34="","",IFERROR(IF(설정!$C$20&lt;=1,ROUND(IF(설정!$C$19="판매가 마진",$H34/(1-$J34),$H34*(1+$J34)),0),CEILING(IF(설정!$C$19="판매가 마진",$H34/(1-$J34),$H34*(1+$J34)),설정!$C$20)),0))</f>
        <v/>
      </c>
      <c r="L34" s="91">
        <f>IF($K34="","",$K34-$H34)</f>
        <v/>
      </c>
      <c r="M34" s="93">
        <f>IF(N($K34)=0,"",$L34/$K34)</f>
        <v/>
      </c>
      <c r="N34" s="91">
        <f>IF($K34="","",$K34*$F34)</f>
        <v/>
      </c>
      <c r="O34" s="94">
        <f>IF($H34="","",$H34*$F34)</f>
        <v/>
      </c>
    </row>
    <row r="35">
      <c r="B35" s="56" t="n"/>
      <c r="C35" s="78" t="n"/>
      <c r="D35" s="51" t="n"/>
      <c r="E35" s="52" t="n"/>
      <c r="F35" s="53" t="n"/>
      <c r="G35" s="90">
        <f>IF(N($E35)=0,"",$E35*IF($D35="USD",설정!$C$11,IF($D35="CNY",설정!$C$12,1)))</f>
        <v/>
      </c>
      <c r="H35" s="91">
        <f>IF($G35="","",$G35*(1+설정!$C$17))</f>
        <v/>
      </c>
      <c r="I35" s="92" t="n"/>
      <c r="J35" s="93">
        <f>IF($G35="","",IF($I35="",설정!$C$18,$I35))</f>
        <v/>
      </c>
      <c r="K35" s="91">
        <f>IF($H35="","",IFERROR(IF(설정!$C$20&lt;=1,ROUND(IF(설정!$C$19="판매가 마진",$H35/(1-$J35),$H35*(1+$J35)),0),CEILING(IF(설정!$C$19="판매가 마진",$H35/(1-$J35),$H35*(1+$J35)),설정!$C$20)),0))</f>
        <v/>
      </c>
      <c r="L35" s="91">
        <f>IF($K35="","",$K35-$H35)</f>
        <v/>
      </c>
      <c r="M35" s="93">
        <f>IF(N($K35)=0,"",$L35/$K35)</f>
        <v/>
      </c>
      <c r="N35" s="91">
        <f>IF($K35="","",$K35*$F35)</f>
        <v/>
      </c>
      <c r="O35" s="94">
        <f>IF($H35="","",$H35*$F35)</f>
        <v/>
      </c>
    </row>
    <row r="36">
      <c r="B36" s="56" t="n"/>
      <c r="C36" s="78" t="n"/>
      <c r="D36" s="51" t="n"/>
      <c r="E36" s="52" t="n"/>
      <c r="F36" s="53" t="n"/>
      <c r="G36" s="90">
        <f>IF(N($E36)=0,"",$E36*IF($D36="USD",설정!$C$11,IF($D36="CNY",설정!$C$12,1)))</f>
        <v/>
      </c>
      <c r="H36" s="91">
        <f>IF($G36="","",$G36*(1+설정!$C$17))</f>
        <v/>
      </c>
      <c r="I36" s="92" t="n"/>
      <c r="J36" s="93">
        <f>IF($G36="","",IF($I36="",설정!$C$18,$I36))</f>
        <v/>
      </c>
      <c r="K36" s="91">
        <f>IF($H36="","",IFERROR(IF(설정!$C$20&lt;=1,ROUND(IF(설정!$C$19="판매가 마진",$H36/(1-$J36),$H36*(1+$J36)),0),CEILING(IF(설정!$C$19="판매가 마진",$H36/(1-$J36),$H36*(1+$J36)),설정!$C$20)),0))</f>
        <v/>
      </c>
      <c r="L36" s="91">
        <f>IF($K36="","",$K36-$H36)</f>
        <v/>
      </c>
      <c r="M36" s="93">
        <f>IF(N($K36)=0,"",$L36/$K36)</f>
        <v/>
      </c>
      <c r="N36" s="91">
        <f>IF($K36="","",$K36*$F36)</f>
        <v/>
      </c>
      <c r="O36" s="94">
        <f>IF($H36="","",$H36*$F36)</f>
        <v/>
      </c>
    </row>
    <row r="37">
      <c r="B37" s="56" t="n"/>
      <c r="C37" s="78" t="n"/>
      <c r="D37" s="51" t="n"/>
      <c r="E37" s="52" t="n"/>
      <c r="F37" s="53" t="n"/>
      <c r="G37" s="90">
        <f>IF(N($E37)=0,"",$E37*IF($D37="USD",설정!$C$11,IF($D37="CNY",설정!$C$12,1)))</f>
        <v/>
      </c>
      <c r="H37" s="91">
        <f>IF($G37="","",$G37*(1+설정!$C$17))</f>
        <v/>
      </c>
      <c r="I37" s="92" t="n"/>
      <c r="J37" s="93">
        <f>IF($G37="","",IF($I37="",설정!$C$18,$I37))</f>
        <v/>
      </c>
      <c r="K37" s="91">
        <f>IF($H37="","",IFERROR(IF(설정!$C$20&lt;=1,ROUND(IF(설정!$C$19="판매가 마진",$H37/(1-$J37),$H37*(1+$J37)),0),CEILING(IF(설정!$C$19="판매가 마진",$H37/(1-$J37),$H37*(1+$J37)),설정!$C$20)),0))</f>
        <v/>
      </c>
      <c r="L37" s="91">
        <f>IF($K37="","",$K37-$H37)</f>
        <v/>
      </c>
      <c r="M37" s="93">
        <f>IF(N($K37)=0,"",$L37/$K37)</f>
        <v/>
      </c>
      <c r="N37" s="91">
        <f>IF($K37="","",$K37*$F37)</f>
        <v/>
      </c>
      <c r="O37" s="94">
        <f>IF($H37="","",$H37*$F37)</f>
        <v/>
      </c>
    </row>
    <row r="38">
      <c r="B38" s="56" t="n"/>
      <c r="C38" s="78" t="n"/>
      <c r="D38" s="51" t="n"/>
      <c r="E38" s="52" t="n"/>
      <c r="F38" s="53" t="n"/>
      <c r="G38" s="90">
        <f>IF(N($E38)=0,"",$E38*IF($D38="USD",설정!$C$11,IF($D38="CNY",설정!$C$12,1)))</f>
        <v/>
      </c>
      <c r="H38" s="91">
        <f>IF($G38="","",$G38*(1+설정!$C$17))</f>
        <v/>
      </c>
      <c r="I38" s="92" t="n"/>
      <c r="J38" s="93">
        <f>IF($G38="","",IF($I38="",설정!$C$18,$I38))</f>
        <v/>
      </c>
      <c r="K38" s="91">
        <f>IF($H38="","",IFERROR(IF(설정!$C$20&lt;=1,ROUND(IF(설정!$C$19="판매가 마진",$H38/(1-$J38),$H38*(1+$J38)),0),CEILING(IF(설정!$C$19="판매가 마진",$H38/(1-$J38),$H38*(1+$J38)),설정!$C$20)),0))</f>
        <v/>
      </c>
      <c r="L38" s="91">
        <f>IF($K38="","",$K38-$H38)</f>
        <v/>
      </c>
      <c r="M38" s="93">
        <f>IF(N($K38)=0,"",$L38/$K38)</f>
        <v/>
      </c>
      <c r="N38" s="91">
        <f>IF($K38="","",$K38*$F38)</f>
        <v/>
      </c>
      <c r="O38" s="94">
        <f>IF($H38="","",$H38*$F38)</f>
        <v/>
      </c>
    </row>
    <row r="39">
      <c r="B39" s="56" t="n"/>
      <c r="C39" s="78" t="n"/>
      <c r="D39" s="51" t="n"/>
      <c r="E39" s="52" t="n"/>
      <c r="F39" s="53" t="n"/>
      <c r="G39" s="90">
        <f>IF(N($E39)=0,"",$E39*IF($D39="USD",설정!$C$11,IF($D39="CNY",설정!$C$12,1)))</f>
        <v/>
      </c>
      <c r="H39" s="91">
        <f>IF($G39="","",$G39*(1+설정!$C$17))</f>
        <v/>
      </c>
      <c r="I39" s="92" t="n"/>
      <c r="J39" s="93">
        <f>IF($G39="","",IF($I39="",설정!$C$18,$I39))</f>
        <v/>
      </c>
      <c r="K39" s="91">
        <f>IF($H39="","",IFERROR(IF(설정!$C$20&lt;=1,ROUND(IF(설정!$C$19="판매가 마진",$H39/(1-$J39),$H39*(1+$J39)),0),CEILING(IF(설정!$C$19="판매가 마진",$H39/(1-$J39),$H39*(1+$J39)),설정!$C$20)),0))</f>
        <v/>
      </c>
      <c r="L39" s="91">
        <f>IF($K39="","",$K39-$H39)</f>
        <v/>
      </c>
      <c r="M39" s="93">
        <f>IF(N($K39)=0,"",$L39/$K39)</f>
        <v/>
      </c>
      <c r="N39" s="91">
        <f>IF($K39="","",$K39*$F39)</f>
        <v/>
      </c>
      <c r="O39" s="94">
        <f>IF($H39="","",$H39*$F39)</f>
        <v/>
      </c>
    </row>
    <row r="40">
      <c r="B40" s="56" t="n"/>
      <c r="C40" s="78" t="n"/>
      <c r="D40" s="51" t="n"/>
      <c r="E40" s="52" t="n"/>
      <c r="F40" s="53" t="n"/>
      <c r="G40" s="90">
        <f>IF(N($E40)=0,"",$E40*IF($D40="USD",설정!$C$11,IF($D40="CNY",설정!$C$12,1)))</f>
        <v/>
      </c>
      <c r="H40" s="91">
        <f>IF($G40="","",$G40*(1+설정!$C$17))</f>
        <v/>
      </c>
      <c r="I40" s="92" t="n"/>
      <c r="J40" s="93">
        <f>IF($G40="","",IF($I40="",설정!$C$18,$I40))</f>
        <v/>
      </c>
      <c r="K40" s="91">
        <f>IF($H40="","",IFERROR(IF(설정!$C$20&lt;=1,ROUND(IF(설정!$C$19="판매가 마진",$H40/(1-$J40),$H40*(1+$J40)),0),CEILING(IF(설정!$C$19="판매가 마진",$H40/(1-$J40),$H40*(1+$J40)),설정!$C$20)),0))</f>
        <v/>
      </c>
      <c r="L40" s="91">
        <f>IF($K40="","",$K40-$H40)</f>
        <v/>
      </c>
      <c r="M40" s="93">
        <f>IF(N($K40)=0,"",$L40/$K40)</f>
        <v/>
      </c>
      <c r="N40" s="91">
        <f>IF($K40="","",$K40*$F40)</f>
        <v/>
      </c>
      <c r="O40" s="94">
        <f>IF($H40="","",$H40*$F40)</f>
        <v/>
      </c>
    </row>
    <row r="41">
      <c r="B41" s="56" t="n"/>
      <c r="C41" s="78" t="n"/>
      <c r="D41" s="51" t="n"/>
      <c r="E41" s="52" t="n"/>
      <c r="F41" s="53" t="n"/>
      <c r="G41" s="90">
        <f>IF(N($E41)=0,"",$E41*IF($D41="USD",설정!$C$11,IF($D41="CNY",설정!$C$12,1)))</f>
        <v/>
      </c>
      <c r="H41" s="91">
        <f>IF($G41="","",$G41*(1+설정!$C$17))</f>
        <v/>
      </c>
      <c r="I41" s="92" t="n"/>
      <c r="J41" s="93">
        <f>IF($G41="","",IF($I41="",설정!$C$18,$I41))</f>
        <v/>
      </c>
      <c r="K41" s="91">
        <f>IF($H41="","",IFERROR(IF(설정!$C$20&lt;=1,ROUND(IF(설정!$C$19="판매가 마진",$H41/(1-$J41),$H41*(1+$J41)),0),CEILING(IF(설정!$C$19="판매가 마진",$H41/(1-$J41),$H41*(1+$J41)),설정!$C$20)),0))</f>
        <v/>
      </c>
      <c r="L41" s="91">
        <f>IF($K41="","",$K41-$H41)</f>
        <v/>
      </c>
      <c r="M41" s="93">
        <f>IF(N($K41)=0,"",$L41/$K41)</f>
        <v/>
      </c>
      <c r="N41" s="91">
        <f>IF($K41="","",$K41*$F41)</f>
        <v/>
      </c>
      <c r="O41" s="94">
        <f>IF($H41="","",$H41*$F41)</f>
        <v/>
      </c>
    </row>
    <row r="42">
      <c r="B42" s="56" t="n"/>
      <c r="C42" s="78" t="n"/>
      <c r="D42" s="51" t="n"/>
      <c r="E42" s="52" t="n"/>
      <c r="F42" s="53" t="n"/>
      <c r="G42" s="90">
        <f>IF(N($E42)=0,"",$E42*IF($D42="USD",설정!$C$11,IF($D42="CNY",설정!$C$12,1)))</f>
        <v/>
      </c>
      <c r="H42" s="91">
        <f>IF($G42="","",$G42*(1+설정!$C$17))</f>
        <v/>
      </c>
      <c r="I42" s="92" t="n"/>
      <c r="J42" s="93">
        <f>IF($G42="","",IF($I42="",설정!$C$18,$I42))</f>
        <v/>
      </c>
      <c r="K42" s="91">
        <f>IF($H42="","",IFERROR(IF(설정!$C$20&lt;=1,ROUND(IF(설정!$C$19="판매가 마진",$H42/(1-$J42),$H42*(1+$J42)),0),CEILING(IF(설정!$C$19="판매가 마진",$H42/(1-$J42),$H42*(1+$J42)),설정!$C$20)),0))</f>
        <v/>
      </c>
      <c r="L42" s="91">
        <f>IF($K42="","",$K42-$H42)</f>
        <v/>
      </c>
      <c r="M42" s="93">
        <f>IF(N($K42)=0,"",$L42/$K42)</f>
        <v/>
      </c>
      <c r="N42" s="91">
        <f>IF($K42="","",$K42*$F42)</f>
        <v/>
      </c>
      <c r="O42" s="94">
        <f>IF($H42="","",$H42*$F42)</f>
        <v/>
      </c>
    </row>
    <row r="43">
      <c r="B43" s="56" t="n"/>
      <c r="C43" s="78" t="n"/>
      <c r="D43" s="51" t="n"/>
      <c r="E43" s="52" t="n"/>
      <c r="F43" s="53" t="n"/>
      <c r="G43" s="90">
        <f>IF(N($E43)=0,"",$E43*IF($D43="USD",설정!$C$11,IF($D43="CNY",설정!$C$12,1)))</f>
        <v/>
      </c>
      <c r="H43" s="91">
        <f>IF($G43="","",$G43*(1+설정!$C$17))</f>
        <v/>
      </c>
      <c r="I43" s="92" t="n"/>
      <c r="J43" s="93">
        <f>IF($G43="","",IF($I43="",설정!$C$18,$I43))</f>
        <v/>
      </c>
      <c r="K43" s="91">
        <f>IF($H43="","",IFERROR(IF(설정!$C$20&lt;=1,ROUND(IF(설정!$C$19="판매가 마진",$H43/(1-$J43),$H43*(1+$J43)),0),CEILING(IF(설정!$C$19="판매가 마진",$H43/(1-$J43),$H43*(1+$J43)),설정!$C$20)),0))</f>
        <v/>
      </c>
      <c r="L43" s="91">
        <f>IF($K43="","",$K43-$H43)</f>
        <v/>
      </c>
      <c r="M43" s="93">
        <f>IF(N($K43)=0,"",$L43/$K43)</f>
        <v/>
      </c>
      <c r="N43" s="91">
        <f>IF($K43="","",$K43*$F43)</f>
        <v/>
      </c>
      <c r="O43" s="94">
        <f>IF($H43="","",$H43*$F43)</f>
        <v/>
      </c>
    </row>
    <row r="44">
      <c r="B44" s="56" t="n"/>
      <c r="C44" s="78" t="n"/>
      <c r="D44" s="51" t="n"/>
      <c r="E44" s="52" t="n"/>
      <c r="F44" s="53" t="n"/>
      <c r="G44" s="90">
        <f>IF(N($E44)=0,"",$E44*IF($D44="USD",설정!$C$11,IF($D44="CNY",설정!$C$12,1)))</f>
        <v/>
      </c>
      <c r="H44" s="91">
        <f>IF($G44="","",$G44*(1+설정!$C$17))</f>
        <v/>
      </c>
      <c r="I44" s="92" t="n"/>
      <c r="J44" s="93">
        <f>IF($G44="","",IF($I44="",설정!$C$18,$I44))</f>
        <v/>
      </c>
      <c r="K44" s="91">
        <f>IF($H44="","",IFERROR(IF(설정!$C$20&lt;=1,ROUND(IF(설정!$C$19="판매가 마진",$H44/(1-$J44),$H44*(1+$J44)),0),CEILING(IF(설정!$C$19="판매가 마진",$H44/(1-$J44),$H44*(1+$J44)),설정!$C$20)),0))</f>
        <v/>
      </c>
      <c r="L44" s="91">
        <f>IF($K44="","",$K44-$H44)</f>
        <v/>
      </c>
      <c r="M44" s="93">
        <f>IF(N($K44)=0,"",$L44/$K44)</f>
        <v/>
      </c>
      <c r="N44" s="91">
        <f>IF($K44="","",$K44*$F44)</f>
        <v/>
      </c>
      <c r="O44" s="94">
        <f>IF($H44="","",$H44*$F44)</f>
        <v/>
      </c>
    </row>
    <row r="45">
      <c r="B45" s="56" t="n"/>
      <c r="C45" s="78" t="n"/>
      <c r="D45" s="51" t="n"/>
      <c r="E45" s="52" t="n"/>
      <c r="F45" s="53" t="n"/>
      <c r="G45" s="90">
        <f>IF(N($E45)=0,"",$E45*IF($D45="USD",설정!$C$11,IF($D45="CNY",설정!$C$12,1)))</f>
        <v/>
      </c>
      <c r="H45" s="91">
        <f>IF($G45="","",$G45*(1+설정!$C$17))</f>
        <v/>
      </c>
      <c r="I45" s="92" t="n"/>
      <c r="J45" s="93">
        <f>IF($G45="","",IF($I45="",설정!$C$18,$I45))</f>
        <v/>
      </c>
      <c r="K45" s="91">
        <f>IF($H45="","",IFERROR(IF(설정!$C$20&lt;=1,ROUND(IF(설정!$C$19="판매가 마진",$H45/(1-$J45),$H45*(1+$J45)),0),CEILING(IF(설정!$C$19="판매가 마진",$H45/(1-$J45),$H45*(1+$J45)),설정!$C$20)),0))</f>
        <v/>
      </c>
      <c r="L45" s="91">
        <f>IF($K45="","",$K45-$H45)</f>
        <v/>
      </c>
      <c r="M45" s="93">
        <f>IF(N($K45)=0,"",$L45/$K45)</f>
        <v/>
      </c>
      <c r="N45" s="91">
        <f>IF($K45="","",$K45*$F45)</f>
        <v/>
      </c>
      <c r="O45" s="94">
        <f>IF($H45="","",$H45*$F45)</f>
        <v/>
      </c>
    </row>
    <row r="46" ht="18" customHeight="1" thickBot="1">
      <c r="B46" s="58" t="inlineStr">
        <is>
          <t>합계</t>
        </is>
      </c>
      <c r="C46" s="79" t="n"/>
      <c r="D46" s="59" t="n"/>
      <c r="E46" s="59" t="n"/>
      <c r="F46" s="60">
        <f>SUM(F6:F45)</f>
        <v/>
      </c>
      <c r="G46" s="59" t="n"/>
      <c r="H46" s="59" t="n"/>
      <c r="I46" s="59" t="n"/>
      <c r="J46" s="59" t="n"/>
      <c r="K46" s="59" t="n"/>
      <c r="L46" s="95">
        <f>SUM(L6:L45)</f>
        <v/>
      </c>
      <c r="M46" s="96">
        <f>IFERROR(SUM(L6:L45)/SUM(N6:N45),0)</f>
        <v/>
      </c>
      <c r="N46" s="95">
        <f>SUM(N6:N45)</f>
        <v/>
      </c>
      <c r="O46" s="97">
        <f>SUM(O6:O45)</f>
        <v/>
      </c>
    </row>
    <row r="48">
      <c r="B48" s="4" t="inlineStr">
        <is>
          <t>파란 글씨 칸(A~D, G)만 입력하세요. 나머지는 수식입니다.</t>
        </is>
      </c>
      <c r="C48" s="4" t="n"/>
    </row>
    <row r="49">
      <c r="B49" s="4" t="inlineStr">
        <is>
          <t>G열 이윤율을 비워 두면 설정 시트의 기본 이윤율이 적용됩니다.</t>
        </is>
      </c>
      <c r="C49" s="4" t="n"/>
    </row>
    <row r="50">
      <c r="B50" s="3" t="inlineStr">
        <is>
          <t>샘플 6개 품목은 형식을 보여주기 위한 예시입니다. 실제 품목으로 교체하세요.</t>
        </is>
      </c>
      <c r="C50" s="3" t="n"/>
    </row>
    <row r="51">
      <c r="B51" s="4" t="inlineStr">
        <is>
          <t>표시 금액은 모두 부가세 별도, 태성정밀 공급가 기준입니다.</t>
        </is>
      </c>
      <c r="C51" s="4" t="n"/>
    </row>
  </sheetData>
  <dataValidations count="1">
    <dataValidation sqref="D6:D45" showDropDown="0" showInputMessage="0" showErrorMessage="0" allowBlank="1" type="list">
      <formula1>"USD,CNY,KRW"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B2:V53"/>
  <sheetViews>
    <sheetView showGridLines="0" tabSelected="1" zoomScale="85" zoomScaleNormal="85" workbookViewId="0">
      <selection activeCell="I17" sqref="I17"/>
    </sheetView>
  </sheetViews>
  <sheetFormatPr baseColWidth="8" defaultRowHeight="17.4"/>
  <cols>
    <col width="3.69921875" customWidth="1" min="1" max="1"/>
    <col width="26" customWidth="1" min="2" max="3"/>
    <col width="8" customWidth="1" min="4" max="5"/>
    <col width="11" customWidth="1" min="6" max="6"/>
    <col width="13" customWidth="1" min="7" max="7"/>
    <col width="8" customWidth="1" min="8" max="8"/>
    <col width="13" customWidth="1" min="9" max="9"/>
    <col width="9" customWidth="1" min="10" max="11"/>
    <col width="13" customWidth="1" min="12" max="14"/>
    <col width="10.09765625" customWidth="1" min="15" max="15"/>
    <col width="12" customWidth="1" min="16" max="16"/>
    <col width="13" customWidth="1" min="17" max="17"/>
    <col width="10" customWidth="1" min="18" max="20"/>
    <col width="15" customWidth="1" min="21" max="22"/>
  </cols>
  <sheetData>
    <row r="1" ht="15" customHeight="1"/>
    <row r="2" ht="21" customHeight="1">
      <c r="B2" s="1" t="inlineStr">
        <is>
          <t>상품 판매가 산출 — 수입품 · 국내구매품 유통</t>
        </is>
      </c>
      <c r="C2" s="1" t="n"/>
    </row>
    <row r="3">
      <c r="B3" s="5">
        <f>"매입원가 → 판관비 "&amp;TEXT(설정!$C$24,"0.0%")&amp;" → BEP 가격 → 영업이익 "&amp;TEXT(설정!$C$25,"0.0%")&amp;" → 기준 유통가 → (영업) 최종 유통가   ·   "&amp;설정!$C$26&amp;" 방식"</f>
        <v/>
      </c>
      <c r="C3" s="5" t="n"/>
    </row>
    <row r="4" ht="18" customHeight="1" thickBot="1"/>
    <row r="5" ht="34.95" customHeight="1" thickBot="1">
      <c r="B5" s="74" t="inlineStr">
        <is>
          <t>상품</t>
        </is>
      </c>
      <c r="C5" s="84" t="inlineStr">
        <is>
          <t>품목코드</t>
        </is>
      </c>
      <c r="D5" s="75" t="inlineStr">
        <is>
          <t>구분</t>
        </is>
      </c>
      <c r="E5" s="75" t="inlineStr">
        <is>
          <t>통화</t>
        </is>
      </c>
      <c r="F5" s="75" t="inlineStr">
        <is>
          <t>외화 단가</t>
        </is>
      </c>
      <c r="G5" s="75" t="inlineStr">
        <is>
          <t>원화 매입단가</t>
        </is>
      </c>
      <c r="H5" s="75" t="inlineStr">
        <is>
          <t>수량</t>
        </is>
      </c>
      <c r="I5" s="75" t="inlineStr">
        <is>
          <t>매입원가
/개</t>
        </is>
      </c>
      <c r="J5" s="75" t="inlineStr">
        <is>
          <t>판관비율</t>
        </is>
      </c>
      <c r="K5" s="75" t="inlineStr">
        <is>
          <t>영업이익률</t>
        </is>
      </c>
      <c r="L5" s="75" t="inlineStr">
        <is>
          <t>BEP 가격</t>
        </is>
      </c>
      <c r="M5" s="75" t="inlineStr">
        <is>
          <t>기준 유통가</t>
        </is>
      </c>
      <c r="N5" s="75" t="inlineStr">
        <is>
          <t>최종 유통가
(영업 입력)</t>
        </is>
      </c>
      <c r="O5" s="75" t="inlineStr">
        <is>
          <t>적용가</t>
        </is>
      </c>
      <c r="P5" s="75" t="inlineStr">
        <is>
          <t>판관비
/개</t>
        </is>
      </c>
      <c r="Q5" s="75" t="inlineStr">
        <is>
          <t>영업이익
/개</t>
        </is>
      </c>
      <c r="R5" s="75" t="inlineStr">
        <is>
          <t>영업이익률
(실제)</t>
        </is>
      </c>
      <c r="S5" s="75" t="inlineStr">
        <is>
          <t>기준가 대비</t>
        </is>
      </c>
      <c r="T5" s="75" t="inlineStr">
        <is>
          <t>BEP 대비</t>
        </is>
      </c>
      <c r="U5" s="75" t="inlineStr">
        <is>
          <t>매출 합계</t>
        </is>
      </c>
      <c r="V5" s="76" t="inlineStr">
        <is>
          <t>영업이익 합계</t>
        </is>
      </c>
    </row>
    <row r="6" ht="18" customHeight="1" thickTop="1">
      <c r="B6" s="64" t="inlineStr">
        <is>
          <t>이중휴지걸이</t>
        </is>
      </c>
      <c r="C6" s="80" t="inlineStr">
        <is>
          <t>TF-AC7111B2</t>
        </is>
      </c>
      <c r="D6" s="65" t="inlineStr">
        <is>
          <t>국내</t>
        </is>
      </c>
      <c r="E6" s="65" t="inlineStr">
        <is>
          <t>KRW</t>
        </is>
      </c>
      <c r="F6" s="66" t="n"/>
      <c r="G6" s="98" t="n">
        <v>19000</v>
      </c>
      <c r="H6" s="68" t="n">
        <v>500</v>
      </c>
      <c r="I6" s="85">
        <f>IF($D6="","",IF($D6="수입",IF(N($F6)=0,"",$F6*IF($E6="USD",설정!$C$11,IF($E6="CNY",설정!$C$12,1))*(1+설정!$C$17)),IF(N($G6)=0,"",$G6*(1+설정!$C$23))))</f>
        <v/>
      </c>
      <c r="J6" s="99" t="n"/>
      <c r="K6" s="99" t="n"/>
      <c r="L6" s="86">
        <f>IF($I6="","",IFERROR(IF(설정!$C$26="원가 가산",$I6*(1+IF($J6="",설정!$C$24,$J6)),$I6/(1-IF($J6="",설정!$C$24,$J6))),0))</f>
        <v/>
      </c>
      <c r="M6" s="86">
        <f>IF($I6="","",IFERROR(IF(설정!$C$27&lt;=1,ROUND(IF(설정!$C$26="원가 가산",$L6*(1+IF($K6="",설정!$C$25,$K6)),$I6/(1-IF($J6="",설정!$C$24,$J6)-IF($K6="",설정!$C$25,$K6))),0),CEILING(IF(설정!$C$26="원가 가산",$L6*(1+IF($K6="",설정!$C$25,$K6)),$I6/(1-IF($J6="",설정!$C$24,$J6)-IF($K6="",설정!$C$25,$K6))),설정!$C$27)),0))</f>
        <v/>
      </c>
      <c r="N6" s="98" t="n">
        <v>40000</v>
      </c>
      <c r="O6" s="86">
        <f>IF($M6="","",IF($N6="",$M6,$N6))</f>
        <v/>
      </c>
      <c r="P6" s="86">
        <f>IF($O6="","",IF(설정!$C$26="원가 가산",$I6*IF($J6="",설정!$C$24,$J6),$O6*IF($J6="",설정!$C$24,$J6)))</f>
        <v/>
      </c>
      <c r="Q6" s="86">
        <f>IF($O6="","",$O6-$I6-$P6)</f>
        <v/>
      </c>
      <c r="R6" s="88">
        <f>IF(N($O6)=0,"",$Q6/$O6)</f>
        <v/>
      </c>
      <c r="S6" s="88">
        <f>IF(N($M6)=0,"",$O6/$M6-1)</f>
        <v/>
      </c>
      <c r="T6" s="88">
        <f>IF(N($L6)=0,"",$O6/$L6-1)</f>
        <v/>
      </c>
      <c r="U6" s="86">
        <f>IF($O6="","",$O6*$H6)</f>
        <v/>
      </c>
      <c r="V6" s="89">
        <f>IF($Q6="","",$Q6*$H6)</f>
        <v/>
      </c>
    </row>
    <row r="7">
      <c r="B7" s="56" t="inlineStr">
        <is>
          <t>샴푸바스켓</t>
        </is>
      </c>
      <c r="C7" s="78" t="inlineStr">
        <is>
          <t>TF-AC7508.BN</t>
        </is>
      </c>
      <c r="D7" s="51" t="inlineStr">
        <is>
          <t>국내</t>
        </is>
      </c>
      <c r="E7" s="51" t="inlineStr">
        <is>
          <t>KRW</t>
        </is>
      </c>
      <c r="F7" s="52" t="n"/>
      <c r="G7" s="100" t="n">
        <v>9000</v>
      </c>
      <c r="H7" s="53" t="n">
        <v>500</v>
      </c>
      <c r="I7" s="90">
        <f>IF($D7="","",IF($D7="수입",IF(N($F7)=0,"",$F7*IF($E7="USD",설정!$C$11,IF($E7="CNY",설정!$C$12,1))*(1+설정!$C$17)),IF(N($G7)=0,"",$G7*(1+설정!$C$23))))</f>
        <v/>
      </c>
      <c r="J7" s="101" t="n"/>
      <c r="K7" s="101" t="n"/>
      <c r="L7" s="91">
        <f>IF($I7="","",IFERROR(IF(설정!$C$26="원가 가산",$I7*(1+IF($J7="",설정!$C$24,$J7)),$I7/(1-IF($J7="",설정!$C$24,$J7))),0))</f>
        <v/>
      </c>
      <c r="M7" s="91">
        <f>IF($I7="","",IFERROR(IF(설정!$C$27&lt;=1,ROUND(IF(설정!$C$26="원가 가산",$L7*(1+IF($K7="",설정!$C$25,$K7)),$I7/(1-IF($J7="",설정!$C$24,$J7)-IF($K7="",설정!$C$25,$K7))),0),CEILING(IF(설정!$C$26="원가 가산",$L7*(1+IF($K7="",설정!$C$25,$K7)),$I7/(1-IF($J7="",설정!$C$24,$J7)-IF($K7="",설정!$C$25,$K7))),설정!$C$27)),0))</f>
        <v/>
      </c>
      <c r="N7" s="100" t="n">
        <v>25000</v>
      </c>
      <c r="O7" s="91">
        <f>IF($M7="","",IF($N7="",$M7,$N7))</f>
        <v/>
      </c>
      <c r="P7" s="91">
        <f>IF($O7="","",IF(설정!$C$26="원가 가산",$I7*IF($J7="",설정!$C$24,$J7),$O7*IF($J7="",설정!$C$24,$J7)))</f>
        <v/>
      </c>
      <c r="Q7" s="91">
        <f>IF($O7="","",$O7-$I7-$P7)</f>
        <v/>
      </c>
      <c r="R7" s="93">
        <f>IF(N($O7)=0,"",$Q7/$O7)</f>
        <v/>
      </c>
      <c r="S7" s="93">
        <f>IF(N($M7)=0,"",$O7/$M7-1)</f>
        <v/>
      </c>
      <c r="T7" s="93">
        <f>IF(N($L7)=0,"",$O7/$L7-1)</f>
        <v/>
      </c>
      <c r="U7" s="91">
        <f>IF($O7="","",$O7*$H7)</f>
        <v/>
      </c>
      <c r="V7" s="94">
        <f>IF($Q7="","",$Q7*$H7)</f>
        <v/>
      </c>
    </row>
    <row r="8">
      <c r="B8" s="56" t="n"/>
      <c r="C8" s="78" t="n"/>
      <c r="D8" s="51" t="n"/>
      <c r="E8" s="51" t="n"/>
      <c r="F8" s="52" t="n"/>
      <c r="G8" s="100" t="n"/>
      <c r="H8" s="53" t="n"/>
      <c r="I8" s="90">
        <f>IF($D8="","",IF($D8="수입",IF(N($F8)=0,"",$F8*IF($E8="USD",설정!$C$11,IF($E8="CNY",설정!$C$12,1))*(1+설정!$C$17)),IF(N($G8)=0,"",$G8*(1+설정!$C$23))))</f>
        <v/>
      </c>
      <c r="J8" s="101" t="n"/>
      <c r="K8" s="101" t="n"/>
      <c r="L8" s="91">
        <f>IF($I8="","",IFERROR(IF(설정!$C$26="원가 가산",$I8*(1+IF($J8="",설정!$C$24,$J8)),$I8/(1-IF($J8="",설정!$C$24,$J8))),0))</f>
        <v/>
      </c>
      <c r="M8" s="91">
        <f>IF($I8="","",IFERROR(IF(설정!$C$27&lt;=1,ROUND(IF(설정!$C$26="원가 가산",$L8*(1+IF($K8="",설정!$C$25,$K8)),$I8/(1-IF($J8="",설정!$C$24,$J8)-IF($K8="",설정!$C$25,$K8))),0),CEILING(IF(설정!$C$26="원가 가산",$L8*(1+IF($K8="",설정!$C$25,$K8)),$I8/(1-IF($J8="",설정!$C$24,$J8)-IF($K8="",설정!$C$25,$K8))),설정!$C$27)),0))</f>
        <v/>
      </c>
      <c r="N8" s="100" t="n"/>
      <c r="O8" s="91">
        <f>IF($M8="","",IF($N8="",$M8,$N8))</f>
        <v/>
      </c>
      <c r="P8" s="91">
        <f>IF($O8="","",IF(설정!$C$26="원가 가산",$I8*IF($J8="",설정!$C$24,$J8),$O8*IF($J8="",설정!$C$24,$J8)))</f>
        <v/>
      </c>
      <c r="Q8" s="91">
        <f>IF($O8="","",$O8-$I8-$P8)</f>
        <v/>
      </c>
      <c r="R8" s="93">
        <f>IF(N($O8)=0,"",$Q8/$O8)</f>
        <v/>
      </c>
      <c r="S8" s="93">
        <f>IF(N($M8)=0,"",$O8/$M8-1)</f>
        <v/>
      </c>
      <c r="T8" s="93">
        <f>IF(N($L8)=0,"",$O8/$L8-1)</f>
        <v/>
      </c>
      <c r="U8" s="91">
        <f>IF($O8="","",$O8*$H8)</f>
        <v/>
      </c>
      <c r="V8" s="94">
        <f>IF($Q8="","",$Q8*$H8)</f>
        <v/>
      </c>
    </row>
    <row r="9">
      <c r="B9" s="56" t="n"/>
      <c r="C9" s="78" t="n"/>
      <c r="D9" s="51" t="n"/>
      <c r="E9" s="51" t="n"/>
      <c r="F9" s="52" t="n"/>
      <c r="G9" s="100" t="n"/>
      <c r="H9" s="53" t="n"/>
      <c r="I9" s="90">
        <f>IF($D9="","",IF($D9="수입",IF(N($F9)=0,"",$F9*IF($E9="USD",설정!$C$11,IF($E9="CNY",설정!$C$12,1))*(1+설정!$C$17)),IF(N($G9)=0,"",$G9*(1+설정!$C$23))))</f>
        <v/>
      </c>
      <c r="J9" s="101" t="n"/>
      <c r="K9" s="101" t="n"/>
      <c r="L9" s="91">
        <f>IF($I9="","",IFERROR(IF(설정!$C$26="원가 가산",$I9*(1+IF($J9="",설정!$C$24,$J9)),$I9/(1-IF($J9="",설정!$C$24,$J9))),0))</f>
        <v/>
      </c>
      <c r="M9" s="91">
        <f>IF($I9="","",IFERROR(IF(설정!$C$27&lt;=1,ROUND(IF(설정!$C$26="원가 가산",$L9*(1+IF($K9="",설정!$C$25,$K9)),$I9/(1-IF($J9="",설정!$C$24,$J9)-IF($K9="",설정!$C$25,$K9))),0),CEILING(IF(설정!$C$26="원가 가산",$L9*(1+IF($K9="",설정!$C$25,$K9)),$I9/(1-IF($J9="",설정!$C$24,$J9)-IF($K9="",설정!$C$25,$K9))),설정!$C$27)),0))</f>
        <v/>
      </c>
      <c r="N9" s="100" t="n"/>
      <c r="O9" s="91">
        <f>IF($M9="","",IF($N9="",$M9,$N9))</f>
        <v/>
      </c>
      <c r="P9" s="91">
        <f>IF($O9="","",IF(설정!$C$26="원가 가산",$I9*IF($J9="",설정!$C$24,$J9),$O9*IF($J9="",설정!$C$24,$J9)))</f>
        <v/>
      </c>
      <c r="Q9" s="91">
        <f>IF($O9="","",$O9-$I9-$P9)</f>
        <v/>
      </c>
      <c r="R9" s="93">
        <f>IF(N($O9)=0,"",$Q9/$O9)</f>
        <v/>
      </c>
      <c r="S9" s="93">
        <f>IF(N($M9)=0,"",$O9/$M9-1)</f>
        <v/>
      </c>
      <c r="T9" s="93">
        <f>IF(N($L9)=0,"",$O9/$L9-1)</f>
        <v/>
      </c>
      <c r="U9" s="91">
        <f>IF($O9="","",$O9*$H9)</f>
        <v/>
      </c>
      <c r="V9" s="94">
        <f>IF($Q9="","",$Q9*$H9)</f>
        <v/>
      </c>
    </row>
    <row r="10">
      <c r="B10" s="56" t="n"/>
      <c r="C10" s="78" t="n"/>
      <c r="D10" s="51" t="n"/>
      <c r="E10" s="51" t="n"/>
      <c r="F10" s="52" t="n"/>
      <c r="G10" s="100" t="n"/>
      <c r="H10" s="53" t="n"/>
      <c r="I10" s="90">
        <f>IF($D10="","",IF($D10="수입",IF(N($F10)=0,"",$F10*IF($E10="USD",설정!$C$11,IF($E10="CNY",설정!$C$12,1))*(1+설정!$C$17)),IF(N($G10)=0,"",$G10*(1+설정!$C$23))))</f>
        <v/>
      </c>
      <c r="J10" s="101" t="n"/>
      <c r="K10" s="101" t="n"/>
      <c r="L10" s="91">
        <f>IF($I10="","",IFERROR(IF(설정!$C$26="원가 가산",$I10*(1+IF($J10="",설정!$C$24,$J10)),$I10/(1-IF($J10="",설정!$C$24,$J10))),0))</f>
        <v/>
      </c>
      <c r="M10" s="91">
        <f>IF($I10="","",IFERROR(IF(설정!$C$27&lt;=1,ROUND(IF(설정!$C$26="원가 가산",$L10*(1+IF($K10="",설정!$C$25,$K10)),$I10/(1-IF($J10="",설정!$C$24,$J10)-IF($K10="",설정!$C$25,$K10))),0),CEILING(IF(설정!$C$26="원가 가산",$L10*(1+IF($K10="",설정!$C$25,$K10)),$I10/(1-IF($J10="",설정!$C$24,$J10)-IF($K10="",설정!$C$25,$K10))),설정!$C$27)),0))</f>
        <v/>
      </c>
      <c r="N10" s="100" t="n"/>
      <c r="O10" s="91">
        <f>IF($M10="","",IF($N10="",$M10,$N10))</f>
        <v/>
      </c>
      <c r="P10" s="91">
        <f>IF($O10="","",IF(설정!$C$26="원가 가산",$I10*IF($J10="",설정!$C$24,$J10),$O10*IF($J10="",설정!$C$24,$J10)))</f>
        <v/>
      </c>
      <c r="Q10" s="91">
        <f>IF($O10="","",$O10-$I10-$P10)</f>
        <v/>
      </c>
      <c r="R10" s="93">
        <f>IF(N($O10)=0,"",$Q10/$O10)</f>
        <v/>
      </c>
      <c r="S10" s="93">
        <f>IF(N($M10)=0,"",$O10/$M10-1)</f>
        <v/>
      </c>
      <c r="T10" s="93">
        <f>IF(N($L10)=0,"",$O10/$L10-1)</f>
        <v/>
      </c>
      <c r="U10" s="91">
        <f>IF($O10="","",$O10*$H10)</f>
        <v/>
      </c>
      <c r="V10" s="94">
        <f>IF($Q10="","",$Q10*$H10)</f>
        <v/>
      </c>
    </row>
    <row r="11">
      <c r="B11" s="56" t="n"/>
      <c r="C11" s="78" t="n"/>
      <c r="D11" s="51" t="n"/>
      <c r="E11" s="51" t="n"/>
      <c r="F11" s="52" t="n"/>
      <c r="G11" s="100" t="n"/>
      <c r="H11" s="53" t="n"/>
      <c r="I11" s="90">
        <f>IF($D11="","",IF($D11="수입",IF(N($F11)=0,"",$F11*IF($E11="USD",설정!$C$11,IF($E11="CNY",설정!$C$12,1))*(1+설정!$C$17)),IF(N($G11)=0,"",$G11*(1+설정!$C$23))))</f>
        <v/>
      </c>
      <c r="J11" s="101" t="n"/>
      <c r="K11" s="101" t="n"/>
      <c r="L11" s="91">
        <f>IF($I11="","",IFERROR(IF(설정!$C$26="원가 가산",$I11*(1+IF($J11="",설정!$C$24,$J11)),$I11/(1-IF($J11="",설정!$C$24,$J11))),0))</f>
        <v/>
      </c>
      <c r="M11" s="91">
        <f>IF($I11="","",IFERROR(IF(설정!$C$27&lt;=1,ROUND(IF(설정!$C$26="원가 가산",$L11*(1+IF($K11="",설정!$C$25,$K11)),$I11/(1-IF($J11="",설정!$C$24,$J11)-IF($K11="",설정!$C$25,$K11))),0),CEILING(IF(설정!$C$26="원가 가산",$L11*(1+IF($K11="",설정!$C$25,$K11)),$I11/(1-IF($J11="",설정!$C$24,$J11)-IF($K11="",설정!$C$25,$K11))),설정!$C$27)),0))</f>
        <v/>
      </c>
      <c r="N11" s="100" t="n"/>
      <c r="O11" s="91">
        <f>IF($M11="","",IF($N11="",$M11,$N11))</f>
        <v/>
      </c>
      <c r="P11" s="91">
        <f>IF($O11="","",IF(설정!$C$26="원가 가산",$I11*IF($J11="",설정!$C$24,$J11),$O11*IF($J11="",설정!$C$24,$J11)))</f>
        <v/>
      </c>
      <c r="Q11" s="91">
        <f>IF($O11="","",$O11-$I11-$P11)</f>
        <v/>
      </c>
      <c r="R11" s="93">
        <f>IF(N($O11)=0,"",$Q11/$O11)</f>
        <v/>
      </c>
      <c r="S11" s="93">
        <f>IF(N($M11)=0,"",$O11/$M11-1)</f>
        <v/>
      </c>
      <c r="T11" s="93">
        <f>IF(N($L11)=0,"",$O11/$L11-1)</f>
        <v/>
      </c>
      <c r="U11" s="91">
        <f>IF($O11="","",$O11*$H11)</f>
        <v/>
      </c>
      <c r="V11" s="94">
        <f>IF($Q11="","",$Q11*$H11)</f>
        <v/>
      </c>
    </row>
    <row r="12">
      <c r="B12" s="56" t="n"/>
      <c r="C12" s="78" t="n"/>
      <c r="D12" s="51" t="n"/>
      <c r="E12" s="51" t="n"/>
      <c r="F12" s="52" t="n"/>
      <c r="G12" s="100" t="n"/>
      <c r="H12" s="53" t="n"/>
      <c r="I12" s="90">
        <f>IF($D12="","",IF($D12="수입",IF(N($F12)=0,"",$F12*IF($E12="USD",설정!$C$11,IF($E12="CNY",설정!$C$12,1))*(1+설정!$C$17)),IF(N($G12)=0,"",$G12*(1+설정!$C$23))))</f>
        <v/>
      </c>
      <c r="J12" s="101" t="n"/>
      <c r="K12" s="101" t="n"/>
      <c r="L12" s="91">
        <f>IF($I12="","",IFERROR(IF(설정!$C$26="원가 가산",$I12*(1+IF($J12="",설정!$C$24,$J12)),$I12/(1-IF($J12="",설정!$C$24,$J12))),0))</f>
        <v/>
      </c>
      <c r="M12" s="91">
        <f>IF($I12="","",IFERROR(IF(설정!$C$27&lt;=1,ROUND(IF(설정!$C$26="원가 가산",$L12*(1+IF($K12="",설정!$C$25,$K12)),$I12/(1-IF($J12="",설정!$C$24,$J12)-IF($K12="",설정!$C$25,$K12))),0),CEILING(IF(설정!$C$26="원가 가산",$L12*(1+IF($K12="",설정!$C$25,$K12)),$I12/(1-IF($J12="",설정!$C$24,$J12)-IF($K12="",설정!$C$25,$K12))),설정!$C$27)),0))</f>
        <v/>
      </c>
      <c r="N12" s="100" t="n"/>
      <c r="O12" s="91">
        <f>IF($M12="","",IF($N12="",$M12,$N12))</f>
        <v/>
      </c>
      <c r="P12" s="91">
        <f>IF($O12="","",IF(설정!$C$26="원가 가산",$I12*IF($J12="",설정!$C$24,$J12),$O12*IF($J12="",설정!$C$24,$J12)))</f>
        <v/>
      </c>
      <c r="Q12" s="91">
        <f>IF($O12="","",$O12-$I12-$P12)</f>
        <v/>
      </c>
      <c r="R12" s="93">
        <f>IF(N($O12)=0,"",$Q12/$O12)</f>
        <v/>
      </c>
      <c r="S12" s="93">
        <f>IF(N($M12)=0,"",$O12/$M12-1)</f>
        <v/>
      </c>
      <c r="T12" s="93">
        <f>IF(N($L12)=0,"",$O12/$L12-1)</f>
        <v/>
      </c>
      <c r="U12" s="91">
        <f>IF($O12="","",$O12*$H12)</f>
        <v/>
      </c>
      <c r="V12" s="94">
        <f>IF($Q12="","",$Q12*$H12)</f>
        <v/>
      </c>
    </row>
    <row r="13">
      <c r="B13" s="56" t="n"/>
      <c r="C13" s="78" t="n"/>
      <c r="D13" s="51" t="n"/>
      <c r="E13" s="51" t="n"/>
      <c r="F13" s="52" t="n"/>
      <c r="G13" s="100" t="n"/>
      <c r="H13" s="53" t="n"/>
      <c r="I13" s="90">
        <f>IF($D13="","",IF($D13="수입",IF(N($F13)=0,"",$F13*IF($E13="USD",설정!$C$11,IF($E13="CNY",설정!$C$12,1))*(1+설정!$C$17)),IF(N($G13)=0,"",$G13*(1+설정!$C$23))))</f>
        <v/>
      </c>
      <c r="J13" s="101" t="n"/>
      <c r="K13" s="101" t="n"/>
      <c r="L13" s="91">
        <f>IF($I13="","",IFERROR(IF(설정!$C$26="원가 가산",$I13*(1+IF($J13="",설정!$C$24,$J13)),$I13/(1-IF($J13="",설정!$C$24,$J13))),0))</f>
        <v/>
      </c>
      <c r="M13" s="91">
        <f>IF($I13="","",IFERROR(IF(설정!$C$27&lt;=1,ROUND(IF(설정!$C$26="원가 가산",$L13*(1+IF($K13="",설정!$C$25,$K13)),$I13/(1-IF($J13="",설정!$C$24,$J13)-IF($K13="",설정!$C$25,$K13))),0),CEILING(IF(설정!$C$26="원가 가산",$L13*(1+IF($K13="",설정!$C$25,$K13)),$I13/(1-IF($J13="",설정!$C$24,$J13)-IF($K13="",설정!$C$25,$K13))),설정!$C$27)),0))</f>
        <v/>
      </c>
      <c r="N13" s="100" t="n"/>
      <c r="O13" s="91">
        <f>IF($M13="","",IF($N13="",$M13,$N13))</f>
        <v/>
      </c>
      <c r="P13" s="91">
        <f>IF($O13="","",IF(설정!$C$26="원가 가산",$I13*IF($J13="",설정!$C$24,$J13),$O13*IF($J13="",설정!$C$24,$J13)))</f>
        <v/>
      </c>
      <c r="Q13" s="91">
        <f>IF($O13="","",$O13-$I13-$P13)</f>
        <v/>
      </c>
      <c r="R13" s="93">
        <f>IF(N($O13)=0,"",$Q13/$O13)</f>
        <v/>
      </c>
      <c r="S13" s="93">
        <f>IF(N($M13)=0,"",$O13/$M13-1)</f>
        <v/>
      </c>
      <c r="T13" s="93">
        <f>IF(N($L13)=0,"",$O13/$L13-1)</f>
        <v/>
      </c>
      <c r="U13" s="91">
        <f>IF($O13="","",$O13*$H13)</f>
        <v/>
      </c>
      <c r="V13" s="94">
        <f>IF($Q13="","",$Q13*$H13)</f>
        <v/>
      </c>
    </row>
    <row r="14">
      <c r="B14" s="56" t="n"/>
      <c r="C14" s="78" t="n"/>
      <c r="D14" s="51" t="n"/>
      <c r="E14" s="51" t="n"/>
      <c r="F14" s="52" t="n"/>
      <c r="G14" s="100" t="n"/>
      <c r="H14" s="53" t="n"/>
      <c r="I14" s="90">
        <f>IF($D14="","",IF($D14="수입",IF(N($F14)=0,"",$F14*IF($E14="USD",설정!$C$11,IF($E14="CNY",설정!$C$12,1))*(1+설정!$C$17)),IF(N($G14)=0,"",$G14*(1+설정!$C$23))))</f>
        <v/>
      </c>
      <c r="J14" s="101" t="n"/>
      <c r="K14" s="101" t="n"/>
      <c r="L14" s="91">
        <f>IF($I14="","",IFERROR(IF(설정!$C$26="원가 가산",$I14*(1+IF($J14="",설정!$C$24,$J14)),$I14/(1-IF($J14="",설정!$C$24,$J14))),0))</f>
        <v/>
      </c>
      <c r="M14" s="91">
        <f>IF($I14="","",IFERROR(IF(설정!$C$27&lt;=1,ROUND(IF(설정!$C$26="원가 가산",$L14*(1+IF($K14="",설정!$C$25,$K14)),$I14/(1-IF($J14="",설정!$C$24,$J14)-IF($K14="",설정!$C$25,$K14))),0),CEILING(IF(설정!$C$26="원가 가산",$L14*(1+IF($K14="",설정!$C$25,$K14)),$I14/(1-IF($J14="",설정!$C$24,$J14)-IF($K14="",설정!$C$25,$K14))),설정!$C$27)),0))</f>
        <v/>
      </c>
      <c r="N14" s="100" t="n"/>
      <c r="O14" s="91">
        <f>IF($M14="","",IF($N14="",$M14,$N14))</f>
        <v/>
      </c>
      <c r="P14" s="91">
        <f>IF($O14="","",IF(설정!$C$26="원가 가산",$I14*IF($J14="",설정!$C$24,$J14),$O14*IF($J14="",설정!$C$24,$J14)))</f>
        <v/>
      </c>
      <c r="Q14" s="91">
        <f>IF($O14="","",$O14-$I14-$P14)</f>
        <v/>
      </c>
      <c r="R14" s="93">
        <f>IF(N($O14)=0,"",$Q14/$O14)</f>
        <v/>
      </c>
      <c r="S14" s="93">
        <f>IF(N($M14)=0,"",$O14/$M14-1)</f>
        <v/>
      </c>
      <c r="T14" s="93">
        <f>IF(N($L14)=0,"",$O14/$L14-1)</f>
        <v/>
      </c>
      <c r="U14" s="91">
        <f>IF($O14="","",$O14*$H14)</f>
        <v/>
      </c>
      <c r="V14" s="94">
        <f>IF($Q14="","",$Q14*$H14)</f>
        <v/>
      </c>
    </row>
    <row r="15">
      <c r="B15" s="56" t="n"/>
      <c r="C15" s="78" t="n"/>
      <c r="D15" s="51" t="n"/>
      <c r="E15" s="51" t="n"/>
      <c r="F15" s="52" t="n"/>
      <c r="G15" s="100" t="n"/>
      <c r="H15" s="53" t="n"/>
      <c r="I15" s="90">
        <f>IF($D15="","",IF($D15="수입",IF(N($F15)=0,"",$F15*IF($E15="USD",설정!$C$11,IF($E15="CNY",설정!$C$12,1))*(1+설정!$C$17)),IF(N($G15)=0,"",$G15*(1+설정!$C$23))))</f>
        <v/>
      </c>
      <c r="J15" s="101" t="n"/>
      <c r="K15" s="101" t="n"/>
      <c r="L15" s="91">
        <f>IF($I15="","",IFERROR(IF(설정!$C$26="원가 가산",$I15*(1+IF($J15="",설정!$C$24,$J15)),$I15/(1-IF($J15="",설정!$C$24,$J15))),0))</f>
        <v/>
      </c>
      <c r="M15" s="91">
        <f>IF($I15="","",IFERROR(IF(설정!$C$27&lt;=1,ROUND(IF(설정!$C$26="원가 가산",$L15*(1+IF($K15="",설정!$C$25,$K15)),$I15/(1-IF($J15="",설정!$C$24,$J15)-IF($K15="",설정!$C$25,$K15))),0),CEILING(IF(설정!$C$26="원가 가산",$L15*(1+IF($K15="",설정!$C$25,$K15)),$I15/(1-IF($J15="",설정!$C$24,$J15)-IF($K15="",설정!$C$25,$K15))),설정!$C$27)),0))</f>
        <v/>
      </c>
      <c r="N15" s="100" t="n"/>
      <c r="O15" s="91">
        <f>IF($M15="","",IF($N15="",$M15,$N15))</f>
        <v/>
      </c>
      <c r="P15" s="91">
        <f>IF($O15="","",IF(설정!$C$26="원가 가산",$I15*IF($J15="",설정!$C$24,$J15),$O15*IF($J15="",설정!$C$24,$J15)))</f>
        <v/>
      </c>
      <c r="Q15" s="91">
        <f>IF($O15="","",$O15-$I15-$P15)</f>
        <v/>
      </c>
      <c r="R15" s="93">
        <f>IF(N($O15)=0,"",$Q15/$O15)</f>
        <v/>
      </c>
      <c r="S15" s="93">
        <f>IF(N($M15)=0,"",$O15/$M15-1)</f>
        <v/>
      </c>
      <c r="T15" s="93">
        <f>IF(N($L15)=0,"",$O15/$L15-1)</f>
        <v/>
      </c>
      <c r="U15" s="91">
        <f>IF($O15="","",$O15*$H15)</f>
        <v/>
      </c>
      <c r="V15" s="94">
        <f>IF($Q15="","",$Q15*$H15)</f>
        <v/>
      </c>
    </row>
    <row r="16">
      <c r="B16" s="56" t="n"/>
      <c r="C16" s="78" t="n"/>
      <c r="D16" s="51" t="n"/>
      <c r="E16" s="51" t="n"/>
      <c r="F16" s="52" t="n"/>
      <c r="G16" s="100" t="n"/>
      <c r="H16" s="53" t="n"/>
      <c r="I16" s="90">
        <f>IF($D16="","",IF($D16="수입",IF(N($F16)=0,"",$F16*IF($E16="USD",설정!$C$11,IF($E16="CNY",설정!$C$12,1))*(1+설정!$C$17)),IF(N($G16)=0,"",$G16*(1+설정!$C$23))))</f>
        <v/>
      </c>
      <c r="J16" s="101" t="n"/>
      <c r="K16" s="101" t="n"/>
      <c r="L16" s="91">
        <f>IF($I16="","",IFERROR(IF(설정!$C$26="원가 가산",$I16*(1+IF($J16="",설정!$C$24,$J16)),$I16/(1-IF($J16="",설정!$C$24,$J16))),0))</f>
        <v/>
      </c>
      <c r="M16" s="91">
        <f>IF($I16="","",IFERROR(IF(설정!$C$27&lt;=1,ROUND(IF(설정!$C$26="원가 가산",$L16*(1+IF($K16="",설정!$C$25,$K16)),$I16/(1-IF($J16="",설정!$C$24,$J16)-IF($K16="",설정!$C$25,$K16))),0),CEILING(IF(설정!$C$26="원가 가산",$L16*(1+IF($K16="",설정!$C$25,$K16)),$I16/(1-IF($J16="",설정!$C$24,$J16)-IF($K16="",설정!$C$25,$K16))),설정!$C$27)),0))</f>
        <v/>
      </c>
      <c r="N16" s="100" t="n"/>
      <c r="O16" s="91">
        <f>IF($M16="","",IF($N16="",$M16,$N16))</f>
        <v/>
      </c>
      <c r="P16" s="91">
        <f>IF($O16="","",IF(설정!$C$26="원가 가산",$I16*IF($J16="",설정!$C$24,$J16),$O16*IF($J16="",설정!$C$24,$J16)))</f>
        <v/>
      </c>
      <c r="Q16" s="91">
        <f>IF($O16="","",$O16-$I16-$P16)</f>
        <v/>
      </c>
      <c r="R16" s="93">
        <f>IF(N($O16)=0,"",$Q16/$O16)</f>
        <v/>
      </c>
      <c r="S16" s="93">
        <f>IF(N($M16)=0,"",$O16/$M16-1)</f>
        <v/>
      </c>
      <c r="T16" s="93">
        <f>IF(N($L16)=0,"",$O16/$L16-1)</f>
        <v/>
      </c>
      <c r="U16" s="91">
        <f>IF($O16="","",$O16*$H16)</f>
        <v/>
      </c>
      <c r="V16" s="94">
        <f>IF($Q16="","",$Q16*$H16)</f>
        <v/>
      </c>
    </row>
    <row r="17">
      <c r="B17" s="56" t="n"/>
      <c r="C17" s="78" t="n"/>
      <c r="D17" s="51" t="n"/>
      <c r="E17" s="51" t="n"/>
      <c r="F17" s="52" t="n"/>
      <c r="G17" s="100" t="n"/>
      <c r="H17" s="53" t="n"/>
      <c r="I17" s="90">
        <f>IF($D17="","",IF($D17="수입",IF(N($F17)=0,"",$F17*IF($E17="USD",설정!$C$11,IF($E17="CNY",설정!$C$12,1))*(1+설정!$C$17)),IF(N($G17)=0,"",$G17*(1+설정!$C$23))))</f>
        <v/>
      </c>
      <c r="J17" s="101" t="n"/>
      <c r="K17" s="101" t="n"/>
      <c r="L17" s="91">
        <f>IF($I17="","",IFERROR(IF(설정!$C$26="원가 가산",$I17*(1+IF($J17="",설정!$C$24,$J17)),$I17/(1-IF($J17="",설정!$C$24,$J17))),0))</f>
        <v/>
      </c>
      <c r="M17" s="91">
        <f>IF($I17="","",IFERROR(IF(설정!$C$27&lt;=1,ROUND(IF(설정!$C$26="원가 가산",$L17*(1+IF($K17="",설정!$C$25,$K17)),$I17/(1-IF($J17="",설정!$C$24,$J17)-IF($K17="",설정!$C$25,$K17))),0),CEILING(IF(설정!$C$26="원가 가산",$L17*(1+IF($K17="",설정!$C$25,$K17)),$I17/(1-IF($J17="",설정!$C$24,$J17)-IF($K17="",설정!$C$25,$K17))),설정!$C$27)),0))</f>
        <v/>
      </c>
      <c r="N17" s="100" t="n"/>
      <c r="O17" s="91">
        <f>IF($M17="","",IF($N17="",$M17,$N17))</f>
        <v/>
      </c>
      <c r="P17" s="91">
        <f>IF($O17="","",IF(설정!$C$26="원가 가산",$I17*IF($J17="",설정!$C$24,$J17),$O17*IF($J17="",설정!$C$24,$J17)))</f>
        <v/>
      </c>
      <c r="Q17" s="91">
        <f>IF($O17="","",$O17-$I17-$P17)</f>
        <v/>
      </c>
      <c r="R17" s="93">
        <f>IF(N($O17)=0,"",$Q17/$O17)</f>
        <v/>
      </c>
      <c r="S17" s="93">
        <f>IF(N($M17)=0,"",$O17/$M17-1)</f>
        <v/>
      </c>
      <c r="T17" s="93">
        <f>IF(N($L17)=0,"",$O17/$L17-1)</f>
        <v/>
      </c>
      <c r="U17" s="91">
        <f>IF($O17="","",$O17*$H17)</f>
        <v/>
      </c>
      <c r="V17" s="94">
        <f>IF($Q17="","",$Q17*$H17)</f>
        <v/>
      </c>
    </row>
    <row r="18">
      <c r="B18" s="56" t="n"/>
      <c r="C18" s="78" t="n"/>
      <c r="D18" s="51" t="n"/>
      <c r="E18" s="51" t="n"/>
      <c r="F18" s="52" t="n"/>
      <c r="G18" s="100" t="n"/>
      <c r="H18" s="53" t="n"/>
      <c r="I18" s="90">
        <f>IF($D18="","",IF($D18="수입",IF(N($F18)=0,"",$F18*IF($E18="USD",설정!$C$11,IF($E18="CNY",설정!$C$12,1))*(1+설정!$C$17)),IF(N($G18)=0,"",$G18*(1+설정!$C$23))))</f>
        <v/>
      </c>
      <c r="J18" s="101" t="n"/>
      <c r="K18" s="101" t="n"/>
      <c r="L18" s="91">
        <f>IF($I18="","",IFERROR(IF(설정!$C$26="원가 가산",$I18*(1+IF($J18="",설정!$C$24,$J18)),$I18/(1-IF($J18="",설정!$C$24,$J18))),0))</f>
        <v/>
      </c>
      <c r="M18" s="91">
        <f>IF($I18="","",IFERROR(IF(설정!$C$27&lt;=1,ROUND(IF(설정!$C$26="원가 가산",$L18*(1+IF($K18="",설정!$C$25,$K18)),$I18/(1-IF($J18="",설정!$C$24,$J18)-IF($K18="",설정!$C$25,$K18))),0),CEILING(IF(설정!$C$26="원가 가산",$L18*(1+IF($K18="",설정!$C$25,$K18)),$I18/(1-IF($J18="",설정!$C$24,$J18)-IF($K18="",설정!$C$25,$K18))),설정!$C$27)),0))</f>
        <v/>
      </c>
      <c r="N18" s="100" t="n"/>
      <c r="O18" s="91">
        <f>IF($M18="","",IF($N18="",$M18,$N18))</f>
        <v/>
      </c>
      <c r="P18" s="91">
        <f>IF($O18="","",IF(설정!$C$26="원가 가산",$I18*IF($J18="",설정!$C$24,$J18),$O18*IF($J18="",설정!$C$24,$J18)))</f>
        <v/>
      </c>
      <c r="Q18" s="91">
        <f>IF($O18="","",$O18-$I18-$P18)</f>
        <v/>
      </c>
      <c r="R18" s="93">
        <f>IF(N($O18)=0,"",$Q18/$O18)</f>
        <v/>
      </c>
      <c r="S18" s="93">
        <f>IF(N($M18)=0,"",$O18/$M18-1)</f>
        <v/>
      </c>
      <c r="T18" s="93">
        <f>IF(N($L18)=0,"",$O18/$L18-1)</f>
        <v/>
      </c>
      <c r="U18" s="91">
        <f>IF($O18="","",$O18*$H18)</f>
        <v/>
      </c>
      <c r="V18" s="94">
        <f>IF($Q18="","",$Q18*$H18)</f>
        <v/>
      </c>
    </row>
    <row r="19">
      <c r="B19" s="56" t="n"/>
      <c r="C19" s="78" t="n"/>
      <c r="D19" s="51" t="n"/>
      <c r="E19" s="51" t="n"/>
      <c r="F19" s="52" t="n"/>
      <c r="G19" s="100" t="n"/>
      <c r="H19" s="53" t="n"/>
      <c r="I19" s="90">
        <f>IF($D19="","",IF($D19="수입",IF(N($F19)=0,"",$F19*IF($E19="USD",설정!$C$11,IF($E19="CNY",설정!$C$12,1))*(1+설정!$C$17)),IF(N($G19)=0,"",$G19*(1+설정!$C$23))))</f>
        <v/>
      </c>
      <c r="J19" s="101" t="n"/>
      <c r="K19" s="101" t="n"/>
      <c r="L19" s="91">
        <f>IF($I19="","",IFERROR(IF(설정!$C$26="원가 가산",$I19*(1+IF($J19="",설정!$C$24,$J19)),$I19/(1-IF($J19="",설정!$C$24,$J19))),0))</f>
        <v/>
      </c>
      <c r="M19" s="91">
        <f>IF($I19="","",IFERROR(IF(설정!$C$27&lt;=1,ROUND(IF(설정!$C$26="원가 가산",$L19*(1+IF($K19="",설정!$C$25,$K19)),$I19/(1-IF($J19="",설정!$C$24,$J19)-IF($K19="",설정!$C$25,$K19))),0),CEILING(IF(설정!$C$26="원가 가산",$L19*(1+IF($K19="",설정!$C$25,$K19)),$I19/(1-IF($J19="",설정!$C$24,$J19)-IF($K19="",설정!$C$25,$K19))),설정!$C$27)),0))</f>
        <v/>
      </c>
      <c r="N19" s="100" t="n"/>
      <c r="O19" s="91">
        <f>IF($M19="","",IF($N19="",$M19,$N19))</f>
        <v/>
      </c>
      <c r="P19" s="91">
        <f>IF($O19="","",IF(설정!$C$26="원가 가산",$I19*IF($J19="",설정!$C$24,$J19),$O19*IF($J19="",설정!$C$24,$J19)))</f>
        <v/>
      </c>
      <c r="Q19" s="91">
        <f>IF($O19="","",$O19-$I19-$P19)</f>
        <v/>
      </c>
      <c r="R19" s="93">
        <f>IF(N($O19)=0,"",$Q19/$O19)</f>
        <v/>
      </c>
      <c r="S19" s="93">
        <f>IF(N($M19)=0,"",$O19/$M19-1)</f>
        <v/>
      </c>
      <c r="T19" s="93">
        <f>IF(N($L19)=0,"",$O19/$L19-1)</f>
        <v/>
      </c>
      <c r="U19" s="91">
        <f>IF($O19="","",$O19*$H19)</f>
        <v/>
      </c>
      <c r="V19" s="94">
        <f>IF($Q19="","",$Q19*$H19)</f>
        <v/>
      </c>
    </row>
    <row r="20">
      <c r="B20" s="56" t="n"/>
      <c r="C20" s="78" t="n"/>
      <c r="D20" s="51" t="n"/>
      <c r="E20" s="51" t="n"/>
      <c r="F20" s="52" t="n"/>
      <c r="G20" s="100" t="n"/>
      <c r="H20" s="53" t="n"/>
      <c r="I20" s="90">
        <f>IF($D20="","",IF($D20="수입",IF(N($F20)=0,"",$F20*IF($E20="USD",설정!$C$11,IF($E20="CNY",설정!$C$12,1))*(1+설정!$C$17)),IF(N($G20)=0,"",$G20*(1+설정!$C$23))))</f>
        <v/>
      </c>
      <c r="J20" s="101" t="n"/>
      <c r="K20" s="101" t="n"/>
      <c r="L20" s="91">
        <f>IF($I20="","",IFERROR(IF(설정!$C$26="원가 가산",$I20*(1+IF($J20="",설정!$C$24,$J20)),$I20/(1-IF($J20="",설정!$C$24,$J20))),0))</f>
        <v/>
      </c>
      <c r="M20" s="91">
        <f>IF($I20="","",IFERROR(IF(설정!$C$27&lt;=1,ROUND(IF(설정!$C$26="원가 가산",$L20*(1+IF($K20="",설정!$C$25,$K20)),$I20/(1-IF($J20="",설정!$C$24,$J20)-IF($K20="",설정!$C$25,$K20))),0),CEILING(IF(설정!$C$26="원가 가산",$L20*(1+IF($K20="",설정!$C$25,$K20)),$I20/(1-IF($J20="",설정!$C$24,$J20)-IF($K20="",설정!$C$25,$K20))),설정!$C$27)),0))</f>
        <v/>
      </c>
      <c r="N20" s="100" t="n"/>
      <c r="O20" s="91">
        <f>IF($M20="","",IF($N20="",$M20,$N20))</f>
        <v/>
      </c>
      <c r="P20" s="91">
        <f>IF($O20="","",IF(설정!$C$26="원가 가산",$I20*IF($J20="",설정!$C$24,$J20),$O20*IF($J20="",설정!$C$24,$J20)))</f>
        <v/>
      </c>
      <c r="Q20" s="91">
        <f>IF($O20="","",$O20-$I20-$P20)</f>
        <v/>
      </c>
      <c r="R20" s="93">
        <f>IF(N($O20)=0,"",$Q20/$O20)</f>
        <v/>
      </c>
      <c r="S20" s="93">
        <f>IF(N($M20)=0,"",$O20/$M20-1)</f>
        <v/>
      </c>
      <c r="T20" s="93">
        <f>IF(N($L20)=0,"",$O20/$L20-1)</f>
        <v/>
      </c>
      <c r="U20" s="91">
        <f>IF($O20="","",$O20*$H20)</f>
        <v/>
      </c>
      <c r="V20" s="94">
        <f>IF($Q20="","",$Q20*$H20)</f>
        <v/>
      </c>
    </row>
    <row r="21">
      <c r="B21" s="56" t="n"/>
      <c r="C21" s="78" t="n"/>
      <c r="D21" s="51" t="n"/>
      <c r="E21" s="51" t="n"/>
      <c r="F21" s="52" t="n"/>
      <c r="G21" s="100" t="n"/>
      <c r="H21" s="53" t="n"/>
      <c r="I21" s="90">
        <f>IF($D21="","",IF($D21="수입",IF(N($F21)=0,"",$F21*IF($E21="USD",설정!$C$11,IF($E21="CNY",설정!$C$12,1))*(1+설정!$C$17)),IF(N($G21)=0,"",$G21*(1+설정!$C$23))))</f>
        <v/>
      </c>
      <c r="J21" s="101" t="n"/>
      <c r="K21" s="101" t="n"/>
      <c r="L21" s="91">
        <f>IF($I21="","",IFERROR(IF(설정!$C$26="원가 가산",$I21*(1+IF($J21="",설정!$C$24,$J21)),$I21/(1-IF($J21="",설정!$C$24,$J21))),0))</f>
        <v/>
      </c>
      <c r="M21" s="91">
        <f>IF($I21="","",IFERROR(IF(설정!$C$27&lt;=1,ROUND(IF(설정!$C$26="원가 가산",$L21*(1+IF($K21="",설정!$C$25,$K21)),$I21/(1-IF($J21="",설정!$C$24,$J21)-IF($K21="",설정!$C$25,$K21))),0),CEILING(IF(설정!$C$26="원가 가산",$L21*(1+IF($K21="",설정!$C$25,$K21)),$I21/(1-IF($J21="",설정!$C$24,$J21)-IF($K21="",설정!$C$25,$K21))),설정!$C$27)),0))</f>
        <v/>
      </c>
      <c r="N21" s="100" t="n"/>
      <c r="O21" s="91">
        <f>IF($M21="","",IF($N21="",$M21,$N21))</f>
        <v/>
      </c>
      <c r="P21" s="91">
        <f>IF($O21="","",IF(설정!$C$26="원가 가산",$I21*IF($J21="",설정!$C$24,$J21),$O21*IF($J21="",설정!$C$24,$J21)))</f>
        <v/>
      </c>
      <c r="Q21" s="91">
        <f>IF($O21="","",$O21-$I21-$P21)</f>
        <v/>
      </c>
      <c r="R21" s="93">
        <f>IF(N($O21)=0,"",$Q21/$O21)</f>
        <v/>
      </c>
      <c r="S21" s="93">
        <f>IF(N($M21)=0,"",$O21/$M21-1)</f>
        <v/>
      </c>
      <c r="T21" s="93">
        <f>IF(N($L21)=0,"",$O21/$L21-1)</f>
        <v/>
      </c>
      <c r="U21" s="91">
        <f>IF($O21="","",$O21*$H21)</f>
        <v/>
      </c>
      <c r="V21" s="94">
        <f>IF($Q21="","",$Q21*$H21)</f>
        <v/>
      </c>
    </row>
    <row r="22">
      <c r="B22" s="56" t="n"/>
      <c r="C22" s="78" t="n"/>
      <c r="D22" s="51" t="n"/>
      <c r="E22" s="51" t="n"/>
      <c r="F22" s="52" t="n"/>
      <c r="G22" s="100" t="n"/>
      <c r="H22" s="53" t="n"/>
      <c r="I22" s="90">
        <f>IF($D22="","",IF($D22="수입",IF(N($F22)=0,"",$F22*IF($E22="USD",설정!$C$11,IF($E22="CNY",설정!$C$12,1))*(1+설정!$C$17)),IF(N($G22)=0,"",$G22*(1+설정!$C$23))))</f>
        <v/>
      </c>
      <c r="J22" s="101" t="n"/>
      <c r="K22" s="101" t="n"/>
      <c r="L22" s="91">
        <f>IF($I22="","",IFERROR(IF(설정!$C$26="원가 가산",$I22*(1+IF($J22="",설정!$C$24,$J22)),$I22/(1-IF($J22="",설정!$C$24,$J22))),0))</f>
        <v/>
      </c>
      <c r="M22" s="91">
        <f>IF($I22="","",IFERROR(IF(설정!$C$27&lt;=1,ROUND(IF(설정!$C$26="원가 가산",$L22*(1+IF($K22="",설정!$C$25,$K22)),$I22/(1-IF($J22="",설정!$C$24,$J22)-IF($K22="",설정!$C$25,$K22))),0),CEILING(IF(설정!$C$26="원가 가산",$L22*(1+IF($K22="",설정!$C$25,$K22)),$I22/(1-IF($J22="",설정!$C$24,$J22)-IF($K22="",설정!$C$25,$K22))),설정!$C$27)),0))</f>
        <v/>
      </c>
      <c r="N22" s="100" t="n"/>
      <c r="O22" s="91">
        <f>IF($M22="","",IF($N22="",$M22,$N22))</f>
        <v/>
      </c>
      <c r="P22" s="91">
        <f>IF($O22="","",IF(설정!$C$26="원가 가산",$I22*IF($J22="",설정!$C$24,$J22),$O22*IF($J22="",설정!$C$24,$J22)))</f>
        <v/>
      </c>
      <c r="Q22" s="91">
        <f>IF($O22="","",$O22-$I22-$P22)</f>
        <v/>
      </c>
      <c r="R22" s="93">
        <f>IF(N($O22)=0,"",$Q22/$O22)</f>
        <v/>
      </c>
      <c r="S22" s="93">
        <f>IF(N($M22)=0,"",$O22/$M22-1)</f>
        <v/>
      </c>
      <c r="T22" s="93">
        <f>IF(N($L22)=0,"",$O22/$L22-1)</f>
        <v/>
      </c>
      <c r="U22" s="91">
        <f>IF($O22="","",$O22*$H22)</f>
        <v/>
      </c>
      <c r="V22" s="94">
        <f>IF($Q22="","",$Q22*$H22)</f>
        <v/>
      </c>
    </row>
    <row r="23">
      <c r="B23" s="56" t="n"/>
      <c r="C23" s="78" t="n"/>
      <c r="D23" s="51" t="n"/>
      <c r="E23" s="51" t="n"/>
      <c r="F23" s="52" t="n"/>
      <c r="G23" s="100" t="n"/>
      <c r="H23" s="53" t="n"/>
      <c r="I23" s="90">
        <f>IF($D23="","",IF($D23="수입",IF(N($F23)=0,"",$F23*IF($E23="USD",설정!$C$11,IF($E23="CNY",설정!$C$12,1))*(1+설정!$C$17)),IF(N($G23)=0,"",$G23*(1+설정!$C$23))))</f>
        <v/>
      </c>
      <c r="J23" s="101" t="n"/>
      <c r="K23" s="101" t="n"/>
      <c r="L23" s="91">
        <f>IF($I23="","",IFERROR(IF(설정!$C$26="원가 가산",$I23*(1+IF($J23="",설정!$C$24,$J23)),$I23/(1-IF($J23="",설정!$C$24,$J23))),0))</f>
        <v/>
      </c>
      <c r="M23" s="91">
        <f>IF($I23="","",IFERROR(IF(설정!$C$27&lt;=1,ROUND(IF(설정!$C$26="원가 가산",$L23*(1+IF($K23="",설정!$C$25,$K23)),$I23/(1-IF($J23="",설정!$C$24,$J23)-IF($K23="",설정!$C$25,$K23))),0),CEILING(IF(설정!$C$26="원가 가산",$L23*(1+IF($K23="",설정!$C$25,$K23)),$I23/(1-IF($J23="",설정!$C$24,$J23)-IF($K23="",설정!$C$25,$K23))),설정!$C$27)),0))</f>
        <v/>
      </c>
      <c r="N23" s="100" t="n"/>
      <c r="O23" s="91">
        <f>IF($M23="","",IF($N23="",$M23,$N23))</f>
        <v/>
      </c>
      <c r="P23" s="91">
        <f>IF($O23="","",IF(설정!$C$26="원가 가산",$I23*IF($J23="",설정!$C$24,$J23),$O23*IF($J23="",설정!$C$24,$J23)))</f>
        <v/>
      </c>
      <c r="Q23" s="91">
        <f>IF($O23="","",$O23-$I23-$P23)</f>
        <v/>
      </c>
      <c r="R23" s="93">
        <f>IF(N($O23)=0,"",$Q23/$O23)</f>
        <v/>
      </c>
      <c r="S23" s="93">
        <f>IF(N($M23)=0,"",$O23/$M23-1)</f>
        <v/>
      </c>
      <c r="T23" s="93">
        <f>IF(N($L23)=0,"",$O23/$L23-1)</f>
        <v/>
      </c>
      <c r="U23" s="91">
        <f>IF($O23="","",$O23*$H23)</f>
        <v/>
      </c>
      <c r="V23" s="94">
        <f>IF($Q23="","",$Q23*$H23)</f>
        <v/>
      </c>
    </row>
    <row r="24">
      <c r="B24" s="56" t="n"/>
      <c r="C24" s="78" t="n"/>
      <c r="D24" s="51" t="n"/>
      <c r="E24" s="51" t="n"/>
      <c r="F24" s="52" t="n"/>
      <c r="G24" s="100" t="n"/>
      <c r="H24" s="53" t="n"/>
      <c r="I24" s="90">
        <f>IF($D24="","",IF($D24="수입",IF(N($F24)=0,"",$F24*IF($E24="USD",설정!$C$11,IF($E24="CNY",설정!$C$12,1))*(1+설정!$C$17)),IF(N($G24)=0,"",$G24*(1+설정!$C$23))))</f>
        <v/>
      </c>
      <c r="J24" s="101" t="n"/>
      <c r="K24" s="101" t="n"/>
      <c r="L24" s="91">
        <f>IF($I24="","",IFERROR(IF(설정!$C$26="원가 가산",$I24*(1+IF($J24="",설정!$C$24,$J24)),$I24/(1-IF($J24="",설정!$C$24,$J24))),0))</f>
        <v/>
      </c>
      <c r="M24" s="91">
        <f>IF($I24="","",IFERROR(IF(설정!$C$27&lt;=1,ROUND(IF(설정!$C$26="원가 가산",$L24*(1+IF($K24="",설정!$C$25,$K24)),$I24/(1-IF($J24="",설정!$C$24,$J24)-IF($K24="",설정!$C$25,$K24))),0),CEILING(IF(설정!$C$26="원가 가산",$L24*(1+IF($K24="",설정!$C$25,$K24)),$I24/(1-IF($J24="",설정!$C$24,$J24)-IF($K24="",설정!$C$25,$K24))),설정!$C$27)),0))</f>
        <v/>
      </c>
      <c r="N24" s="100" t="n"/>
      <c r="O24" s="91">
        <f>IF($M24="","",IF($N24="",$M24,$N24))</f>
        <v/>
      </c>
      <c r="P24" s="91">
        <f>IF($O24="","",IF(설정!$C$26="원가 가산",$I24*IF($J24="",설정!$C$24,$J24),$O24*IF($J24="",설정!$C$24,$J24)))</f>
        <v/>
      </c>
      <c r="Q24" s="91">
        <f>IF($O24="","",$O24-$I24-$P24)</f>
        <v/>
      </c>
      <c r="R24" s="93">
        <f>IF(N($O24)=0,"",$Q24/$O24)</f>
        <v/>
      </c>
      <c r="S24" s="93">
        <f>IF(N($M24)=0,"",$O24/$M24-1)</f>
        <v/>
      </c>
      <c r="T24" s="93">
        <f>IF(N($L24)=0,"",$O24/$L24-1)</f>
        <v/>
      </c>
      <c r="U24" s="91">
        <f>IF($O24="","",$O24*$H24)</f>
        <v/>
      </c>
      <c r="V24" s="94">
        <f>IF($Q24="","",$Q24*$H24)</f>
        <v/>
      </c>
    </row>
    <row r="25">
      <c r="B25" s="56" t="n"/>
      <c r="C25" s="78" t="n"/>
      <c r="D25" s="51" t="n"/>
      <c r="E25" s="51" t="n"/>
      <c r="F25" s="52" t="n"/>
      <c r="G25" s="100" t="n"/>
      <c r="H25" s="53" t="n"/>
      <c r="I25" s="90">
        <f>IF($D25="","",IF($D25="수입",IF(N($F25)=0,"",$F25*IF($E25="USD",설정!$C$11,IF($E25="CNY",설정!$C$12,1))*(1+설정!$C$17)),IF(N($G25)=0,"",$G25*(1+설정!$C$23))))</f>
        <v/>
      </c>
      <c r="J25" s="101" t="n"/>
      <c r="K25" s="101" t="n"/>
      <c r="L25" s="91">
        <f>IF($I25="","",IFERROR(IF(설정!$C$26="원가 가산",$I25*(1+IF($J25="",설정!$C$24,$J25)),$I25/(1-IF($J25="",설정!$C$24,$J25))),0))</f>
        <v/>
      </c>
      <c r="M25" s="91">
        <f>IF($I25="","",IFERROR(IF(설정!$C$27&lt;=1,ROUND(IF(설정!$C$26="원가 가산",$L25*(1+IF($K25="",설정!$C$25,$K25)),$I25/(1-IF($J25="",설정!$C$24,$J25)-IF($K25="",설정!$C$25,$K25))),0),CEILING(IF(설정!$C$26="원가 가산",$L25*(1+IF($K25="",설정!$C$25,$K25)),$I25/(1-IF($J25="",설정!$C$24,$J25)-IF($K25="",설정!$C$25,$K25))),설정!$C$27)),0))</f>
        <v/>
      </c>
      <c r="N25" s="100" t="n"/>
      <c r="O25" s="91">
        <f>IF($M25="","",IF($N25="",$M25,$N25))</f>
        <v/>
      </c>
      <c r="P25" s="91">
        <f>IF($O25="","",IF(설정!$C$26="원가 가산",$I25*IF($J25="",설정!$C$24,$J25),$O25*IF($J25="",설정!$C$24,$J25)))</f>
        <v/>
      </c>
      <c r="Q25" s="91">
        <f>IF($O25="","",$O25-$I25-$P25)</f>
        <v/>
      </c>
      <c r="R25" s="93">
        <f>IF(N($O25)=0,"",$Q25/$O25)</f>
        <v/>
      </c>
      <c r="S25" s="93">
        <f>IF(N($M25)=0,"",$O25/$M25-1)</f>
        <v/>
      </c>
      <c r="T25" s="93">
        <f>IF(N($L25)=0,"",$O25/$L25-1)</f>
        <v/>
      </c>
      <c r="U25" s="91">
        <f>IF($O25="","",$O25*$H25)</f>
        <v/>
      </c>
      <c r="V25" s="94">
        <f>IF($Q25="","",$Q25*$H25)</f>
        <v/>
      </c>
    </row>
    <row r="26">
      <c r="B26" s="56" t="n"/>
      <c r="C26" s="78" t="n"/>
      <c r="D26" s="51" t="n"/>
      <c r="E26" s="51" t="n"/>
      <c r="F26" s="52" t="n"/>
      <c r="G26" s="100" t="n"/>
      <c r="H26" s="53" t="n"/>
      <c r="I26" s="90">
        <f>IF($D26="","",IF($D26="수입",IF(N($F26)=0,"",$F26*IF($E26="USD",설정!$C$11,IF($E26="CNY",설정!$C$12,1))*(1+설정!$C$17)),IF(N($G26)=0,"",$G26*(1+설정!$C$23))))</f>
        <v/>
      </c>
      <c r="J26" s="101" t="n"/>
      <c r="K26" s="101" t="n"/>
      <c r="L26" s="91">
        <f>IF($I26="","",IFERROR(IF(설정!$C$26="원가 가산",$I26*(1+IF($J26="",설정!$C$24,$J26)),$I26/(1-IF($J26="",설정!$C$24,$J26))),0))</f>
        <v/>
      </c>
      <c r="M26" s="91">
        <f>IF($I26="","",IFERROR(IF(설정!$C$27&lt;=1,ROUND(IF(설정!$C$26="원가 가산",$L26*(1+IF($K26="",설정!$C$25,$K26)),$I26/(1-IF($J26="",설정!$C$24,$J26)-IF($K26="",설정!$C$25,$K26))),0),CEILING(IF(설정!$C$26="원가 가산",$L26*(1+IF($K26="",설정!$C$25,$K26)),$I26/(1-IF($J26="",설정!$C$24,$J26)-IF($K26="",설정!$C$25,$K26))),설정!$C$27)),0))</f>
        <v/>
      </c>
      <c r="N26" s="100" t="n"/>
      <c r="O26" s="91">
        <f>IF($M26="","",IF($N26="",$M26,$N26))</f>
        <v/>
      </c>
      <c r="P26" s="91">
        <f>IF($O26="","",IF(설정!$C$26="원가 가산",$I26*IF($J26="",설정!$C$24,$J26),$O26*IF($J26="",설정!$C$24,$J26)))</f>
        <v/>
      </c>
      <c r="Q26" s="91">
        <f>IF($O26="","",$O26-$I26-$P26)</f>
        <v/>
      </c>
      <c r="R26" s="93">
        <f>IF(N($O26)=0,"",$Q26/$O26)</f>
        <v/>
      </c>
      <c r="S26" s="93">
        <f>IF(N($M26)=0,"",$O26/$M26-1)</f>
        <v/>
      </c>
      <c r="T26" s="93">
        <f>IF(N($L26)=0,"",$O26/$L26-1)</f>
        <v/>
      </c>
      <c r="U26" s="91">
        <f>IF($O26="","",$O26*$H26)</f>
        <v/>
      </c>
      <c r="V26" s="94">
        <f>IF($Q26="","",$Q26*$H26)</f>
        <v/>
      </c>
    </row>
    <row r="27">
      <c r="B27" s="56" t="n"/>
      <c r="C27" s="78" t="n"/>
      <c r="D27" s="51" t="n"/>
      <c r="E27" s="51" t="n"/>
      <c r="F27" s="52" t="n"/>
      <c r="G27" s="100" t="n"/>
      <c r="H27" s="53" t="n"/>
      <c r="I27" s="90">
        <f>IF($D27="","",IF($D27="수입",IF(N($F27)=0,"",$F27*IF($E27="USD",설정!$C$11,IF($E27="CNY",설정!$C$12,1))*(1+설정!$C$17)),IF(N($G27)=0,"",$G27*(1+설정!$C$23))))</f>
        <v/>
      </c>
      <c r="J27" s="101" t="n"/>
      <c r="K27" s="101" t="n"/>
      <c r="L27" s="91">
        <f>IF($I27="","",IFERROR(IF(설정!$C$26="원가 가산",$I27*(1+IF($J27="",설정!$C$24,$J27)),$I27/(1-IF($J27="",설정!$C$24,$J27))),0))</f>
        <v/>
      </c>
      <c r="M27" s="91">
        <f>IF($I27="","",IFERROR(IF(설정!$C$27&lt;=1,ROUND(IF(설정!$C$26="원가 가산",$L27*(1+IF($K27="",설정!$C$25,$K27)),$I27/(1-IF($J27="",설정!$C$24,$J27)-IF($K27="",설정!$C$25,$K27))),0),CEILING(IF(설정!$C$26="원가 가산",$L27*(1+IF($K27="",설정!$C$25,$K27)),$I27/(1-IF($J27="",설정!$C$24,$J27)-IF($K27="",설정!$C$25,$K27))),설정!$C$27)),0))</f>
        <v/>
      </c>
      <c r="N27" s="100" t="n"/>
      <c r="O27" s="91">
        <f>IF($M27="","",IF($N27="",$M27,$N27))</f>
        <v/>
      </c>
      <c r="P27" s="91">
        <f>IF($O27="","",IF(설정!$C$26="원가 가산",$I27*IF($J27="",설정!$C$24,$J27),$O27*IF($J27="",설정!$C$24,$J27)))</f>
        <v/>
      </c>
      <c r="Q27" s="91">
        <f>IF($O27="","",$O27-$I27-$P27)</f>
        <v/>
      </c>
      <c r="R27" s="93">
        <f>IF(N($O27)=0,"",$Q27/$O27)</f>
        <v/>
      </c>
      <c r="S27" s="93">
        <f>IF(N($M27)=0,"",$O27/$M27-1)</f>
        <v/>
      </c>
      <c r="T27" s="93">
        <f>IF(N($L27)=0,"",$O27/$L27-1)</f>
        <v/>
      </c>
      <c r="U27" s="91">
        <f>IF($O27="","",$O27*$H27)</f>
        <v/>
      </c>
      <c r="V27" s="94">
        <f>IF($Q27="","",$Q27*$H27)</f>
        <v/>
      </c>
    </row>
    <row r="28">
      <c r="B28" s="56" t="n"/>
      <c r="C28" s="78" t="n"/>
      <c r="D28" s="51" t="n"/>
      <c r="E28" s="51" t="n"/>
      <c r="F28" s="52" t="n"/>
      <c r="G28" s="100" t="n"/>
      <c r="H28" s="53" t="n"/>
      <c r="I28" s="90">
        <f>IF($D28="","",IF($D28="수입",IF(N($F28)=0,"",$F28*IF($E28="USD",설정!$C$11,IF($E28="CNY",설정!$C$12,1))*(1+설정!$C$17)),IF(N($G28)=0,"",$G28*(1+설정!$C$23))))</f>
        <v/>
      </c>
      <c r="J28" s="101" t="n"/>
      <c r="K28" s="101" t="n"/>
      <c r="L28" s="91">
        <f>IF($I28="","",IFERROR(IF(설정!$C$26="원가 가산",$I28*(1+IF($J28="",설정!$C$24,$J28)),$I28/(1-IF($J28="",설정!$C$24,$J28))),0))</f>
        <v/>
      </c>
      <c r="M28" s="91">
        <f>IF($I28="","",IFERROR(IF(설정!$C$27&lt;=1,ROUND(IF(설정!$C$26="원가 가산",$L28*(1+IF($K28="",설정!$C$25,$K28)),$I28/(1-IF($J28="",설정!$C$24,$J28)-IF($K28="",설정!$C$25,$K28))),0),CEILING(IF(설정!$C$26="원가 가산",$L28*(1+IF($K28="",설정!$C$25,$K28)),$I28/(1-IF($J28="",설정!$C$24,$J28)-IF($K28="",설정!$C$25,$K28))),설정!$C$27)),0))</f>
        <v/>
      </c>
      <c r="N28" s="100" t="n"/>
      <c r="O28" s="91">
        <f>IF($M28="","",IF($N28="",$M28,$N28))</f>
        <v/>
      </c>
      <c r="P28" s="91">
        <f>IF($O28="","",IF(설정!$C$26="원가 가산",$I28*IF($J28="",설정!$C$24,$J28),$O28*IF($J28="",설정!$C$24,$J28)))</f>
        <v/>
      </c>
      <c r="Q28" s="91">
        <f>IF($O28="","",$O28-$I28-$P28)</f>
        <v/>
      </c>
      <c r="R28" s="93">
        <f>IF(N($O28)=0,"",$Q28/$O28)</f>
        <v/>
      </c>
      <c r="S28" s="93">
        <f>IF(N($M28)=0,"",$O28/$M28-1)</f>
        <v/>
      </c>
      <c r="T28" s="93">
        <f>IF(N($L28)=0,"",$O28/$L28-1)</f>
        <v/>
      </c>
      <c r="U28" s="91">
        <f>IF($O28="","",$O28*$H28)</f>
        <v/>
      </c>
      <c r="V28" s="94">
        <f>IF($Q28="","",$Q28*$H28)</f>
        <v/>
      </c>
    </row>
    <row r="29">
      <c r="B29" s="56" t="n"/>
      <c r="C29" s="78" t="n"/>
      <c r="D29" s="51" t="n"/>
      <c r="E29" s="51" t="n"/>
      <c r="F29" s="52" t="n"/>
      <c r="G29" s="100" t="n"/>
      <c r="H29" s="53" t="n"/>
      <c r="I29" s="90">
        <f>IF($D29="","",IF($D29="수입",IF(N($F29)=0,"",$F29*IF($E29="USD",설정!$C$11,IF($E29="CNY",설정!$C$12,1))*(1+설정!$C$17)),IF(N($G29)=0,"",$G29*(1+설정!$C$23))))</f>
        <v/>
      </c>
      <c r="J29" s="101" t="n"/>
      <c r="K29" s="101" t="n"/>
      <c r="L29" s="91">
        <f>IF($I29="","",IFERROR(IF(설정!$C$26="원가 가산",$I29*(1+IF($J29="",설정!$C$24,$J29)),$I29/(1-IF($J29="",설정!$C$24,$J29))),0))</f>
        <v/>
      </c>
      <c r="M29" s="91">
        <f>IF($I29="","",IFERROR(IF(설정!$C$27&lt;=1,ROUND(IF(설정!$C$26="원가 가산",$L29*(1+IF($K29="",설정!$C$25,$K29)),$I29/(1-IF($J29="",설정!$C$24,$J29)-IF($K29="",설정!$C$25,$K29))),0),CEILING(IF(설정!$C$26="원가 가산",$L29*(1+IF($K29="",설정!$C$25,$K29)),$I29/(1-IF($J29="",설정!$C$24,$J29)-IF($K29="",설정!$C$25,$K29))),설정!$C$27)),0))</f>
        <v/>
      </c>
      <c r="N29" s="100" t="n"/>
      <c r="O29" s="91">
        <f>IF($M29="","",IF($N29="",$M29,$N29))</f>
        <v/>
      </c>
      <c r="P29" s="91">
        <f>IF($O29="","",IF(설정!$C$26="원가 가산",$I29*IF($J29="",설정!$C$24,$J29),$O29*IF($J29="",설정!$C$24,$J29)))</f>
        <v/>
      </c>
      <c r="Q29" s="91">
        <f>IF($O29="","",$O29-$I29-$P29)</f>
        <v/>
      </c>
      <c r="R29" s="93">
        <f>IF(N($O29)=0,"",$Q29/$O29)</f>
        <v/>
      </c>
      <c r="S29" s="93">
        <f>IF(N($M29)=0,"",$O29/$M29-1)</f>
        <v/>
      </c>
      <c r="T29" s="93">
        <f>IF(N($L29)=0,"",$O29/$L29-1)</f>
        <v/>
      </c>
      <c r="U29" s="91">
        <f>IF($O29="","",$O29*$H29)</f>
        <v/>
      </c>
      <c r="V29" s="94">
        <f>IF($Q29="","",$Q29*$H29)</f>
        <v/>
      </c>
    </row>
    <row r="30">
      <c r="B30" s="56" t="n"/>
      <c r="C30" s="78" t="n"/>
      <c r="D30" s="51" t="n"/>
      <c r="E30" s="51" t="n"/>
      <c r="F30" s="52" t="n"/>
      <c r="G30" s="100" t="n"/>
      <c r="H30" s="53" t="n"/>
      <c r="I30" s="90">
        <f>IF($D30="","",IF($D30="수입",IF(N($F30)=0,"",$F30*IF($E30="USD",설정!$C$11,IF($E30="CNY",설정!$C$12,1))*(1+설정!$C$17)),IF(N($G30)=0,"",$G30*(1+설정!$C$23))))</f>
        <v/>
      </c>
      <c r="J30" s="101" t="n"/>
      <c r="K30" s="101" t="n"/>
      <c r="L30" s="91">
        <f>IF($I30="","",IFERROR(IF(설정!$C$26="원가 가산",$I30*(1+IF($J30="",설정!$C$24,$J30)),$I30/(1-IF($J30="",설정!$C$24,$J30))),0))</f>
        <v/>
      </c>
      <c r="M30" s="91">
        <f>IF($I30="","",IFERROR(IF(설정!$C$27&lt;=1,ROUND(IF(설정!$C$26="원가 가산",$L30*(1+IF($K30="",설정!$C$25,$K30)),$I30/(1-IF($J30="",설정!$C$24,$J30)-IF($K30="",설정!$C$25,$K30))),0),CEILING(IF(설정!$C$26="원가 가산",$L30*(1+IF($K30="",설정!$C$25,$K30)),$I30/(1-IF($J30="",설정!$C$24,$J30)-IF($K30="",설정!$C$25,$K30))),설정!$C$27)),0))</f>
        <v/>
      </c>
      <c r="N30" s="100" t="n"/>
      <c r="O30" s="91">
        <f>IF($M30="","",IF($N30="",$M30,$N30))</f>
        <v/>
      </c>
      <c r="P30" s="91">
        <f>IF($O30="","",IF(설정!$C$26="원가 가산",$I30*IF($J30="",설정!$C$24,$J30),$O30*IF($J30="",설정!$C$24,$J30)))</f>
        <v/>
      </c>
      <c r="Q30" s="91">
        <f>IF($O30="","",$O30-$I30-$P30)</f>
        <v/>
      </c>
      <c r="R30" s="93">
        <f>IF(N($O30)=0,"",$Q30/$O30)</f>
        <v/>
      </c>
      <c r="S30" s="93">
        <f>IF(N($M30)=0,"",$O30/$M30-1)</f>
        <v/>
      </c>
      <c r="T30" s="93">
        <f>IF(N($L30)=0,"",$O30/$L30-1)</f>
        <v/>
      </c>
      <c r="U30" s="91">
        <f>IF($O30="","",$O30*$H30)</f>
        <v/>
      </c>
      <c r="V30" s="94">
        <f>IF($Q30="","",$Q30*$H30)</f>
        <v/>
      </c>
    </row>
    <row r="31">
      <c r="B31" s="56" t="n"/>
      <c r="C31" s="78" t="n"/>
      <c r="D31" s="51" t="n"/>
      <c r="E31" s="51" t="n"/>
      <c r="F31" s="52" t="n"/>
      <c r="G31" s="100" t="n"/>
      <c r="H31" s="53" t="n"/>
      <c r="I31" s="90">
        <f>IF($D31="","",IF($D31="수입",IF(N($F31)=0,"",$F31*IF($E31="USD",설정!$C$11,IF($E31="CNY",설정!$C$12,1))*(1+설정!$C$17)),IF(N($G31)=0,"",$G31*(1+설정!$C$23))))</f>
        <v/>
      </c>
      <c r="J31" s="101" t="n"/>
      <c r="K31" s="101" t="n"/>
      <c r="L31" s="91">
        <f>IF($I31="","",IFERROR(IF(설정!$C$26="원가 가산",$I31*(1+IF($J31="",설정!$C$24,$J31)),$I31/(1-IF($J31="",설정!$C$24,$J31))),0))</f>
        <v/>
      </c>
      <c r="M31" s="91">
        <f>IF($I31="","",IFERROR(IF(설정!$C$27&lt;=1,ROUND(IF(설정!$C$26="원가 가산",$L31*(1+IF($K31="",설정!$C$25,$K31)),$I31/(1-IF($J31="",설정!$C$24,$J31)-IF($K31="",설정!$C$25,$K31))),0),CEILING(IF(설정!$C$26="원가 가산",$L31*(1+IF($K31="",설정!$C$25,$K31)),$I31/(1-IF($J31="",설정!$C$24,$J31)-IF($K31="",설정!$C$25,$K31))),설정!$C$27)),0))</f>
        <v/>
      </c>
      <c r="N31" s="100" t="n"/>
      <c r="O31" s="91">
        <f>IF($M31="","",IF($N31="",$M31,$N31))</f>
        <v/>
      </c>
      <c r="P31" s="91">
        <f>IF($O31="","",IF(설정!$C$26="원가 가산",$I31*IF($J31="",설정!$C$24,$J31),$O31*IF($J31="",설정!$C$24,$J31)))</f>
        <v/>
      </c>
      <c r="Q31" s="91">
        <f>IF($O31="","",$O31-$I31-$P31)</f>
        <v/>
      </c>
      <c r="R31" s="93">
        <f>IF(N($O31)=0,"",$Q31/$O31)</f>
        <v/>
      </c>
      <c r="S31" s="93">
        <f>IF(N($M31)=0,"",$O31/$M31-1)</f>
        <v/>
      </c>
      <c r="T31" s="93">
        <f>IF(N($L31)=0,"",$O31/$L31-1)</f>
        <v/>
      </c>
      <c r="U31" s="91">
        <f>IF($O31="","",$O31*$H31)</f>
        <v/>
      </c>
      <c r="V31" s="94">
        <f>IF($Q31="","",$Q31*$H31)</f>
        <v/>
      </c>
    </row>
    <row r="32">
      <c r="B32" s="56" t="n"/>
      <c r="C32" s="78" t="n"/>
      <c r="D32" s="51" t="n"/>
      <c r="E32" s="51" t="n"/>
      <c r="F32" s="52" t="n"/>
      <c r="G32" s="100" t="n"/>
      <c r="H32" s="53" t="n"/>
      <c r="I32" s="90">
        <f>IF($D32="","",IF($D32="수입",IF(N($F32)=0,"",$F32*IF($E32="USD",설정!$C$11,IF($E32="CNY",설정!$C$12,1))*(1+설정!$C$17)),IF(N($G32)=0,"",$G32*(1+설정!$C$23))))</f>
        <v/>
      </c>
      <c r="J32" s="101" t="n"/>
      <c r="K32" s="101" t="n"/>
      <c r="L32" s="91">
        <f>IF($I32="","",IFERROR(IF(설정!$C$26="원가 가산",$I32*(1+IF($J32="",설정!$C$24,$J32)),$I32/(1-IF($J32="",설정!$C$24,$J32))),0))</f>
        <v/>
      </c>
      <c r="M32" s="91">
        <f>IF($I32="","",IFERROR(IF(설정!$C$27&lt;=1,ROUND(IF(설정!$C$26="원가 가산",$L32*(1+IF($K32="",설정!$C$25,$K32)),$I32/(1-IF($J32="",설정!$C$24,$J32)-IF($K32="",설정!$C$25,$K32))),0),CEILING(IF(설정!$C$26="원가 가산",$L32*(1+IF($K32="",설정!$C$25,$K32)),$I32/(1-IF($J32="",설정!$C$24,$J32)-IF($K32="",설정!$C$25,$K32))),설정!$C$27)),0))</f>
        <v/>
      </c>
      <c r="N32" s="100" t="n"/>
      <c r="O32" s="91">
        <f>IF($M32="","",IF($N32="",$M32,$N32))</f>
        <v/>
      </c>
      <c r="P32" s="91">
        <f>IF($O32="","",IF(설정!$C$26="원가 가산",$I32*IF($J32="",설정!$C$24,$J32),$O32*IF($J32="",설정!$C$24,$J32)))</f>
        <v/>
      </c>
      <c r="Q32" s="91">
        <f>IF($O32="","",$O32-$I32-$P32)</f>
        <v/>
      </c>
      <c r="R32" s="93">
        <f>IF(N($O32)=0,"",$Q32/$O32)</f>
        <v/>
      </c>
      <c r="S32" s="93">
        <f>IF(N($M32)=0,"",$O32/$M32-1)</f>
        <v/>
      </c>
      <c r="T32" s="93">
        <f>IF(N($L32)=0,"",$O32/$L32-1)</f>
        <v/>
      </c>
      <c r="U32" s="91">
        <f>IF($O32="","",$O32*$H32)</f>
        <v/>
      </c>
      <c r="V32" s="94">
        <f>IF($Q32="","",$Q32*$H32)</f>
        <v/>
      </c>
    </row>
    <row r="33">
      <c r="B33" s="56" t="n"/>
      <c r="C33" s="78" t="n"/>
      <c r="D33" s="51" t="n"/>
      <c r="E33" s="51" t="n"/>
      <c r="F33" s="52" t="n"/>
      <c r="G33" s="100" t="n"/>
      <c r="H33" s="53" t="n"/>
      <c r="I33" s="90">
        <f>IF($D33="","",IF($D33="수입",IF(N($F33)=0,"",$F33*IF($E33="USD",설정!$C$11,IF($E33="CNY",설정!$C$12,1))*(1+설정!$C$17)),IF(N($G33)=0,"",$G33*(1+설정!$C$23))))</f>
        <v/>
      </c>
      <c r="J33" s="101" t="n"/>
      <c r="K33" s="101" t="n"/>
      <c r="L33" s="91">
        <f>IF($I33="","",IFERROR(IF(설정!$C$26="원가 가산",$I33*(1+IF($J33="",설정!$C$24,$J33)),$I33/(1-IF($J33="",설정!$C$24,$J33))),0))</f>
        <v/>
      </c>
      <c r="M33" s="91">
        <f>IF($I33="","",IFERROR(IF(설정!$C$27&lt;=1,ROUND(IF(설정!$C$26="원가 가산",$L33*(1+IF($K33="",설정!$C$25,$K33)),$I33/(1-IF($J33="",설정!$C$24,$J33)-IF($K33="",설정!$C$25,$K33))),0),CEILING(IF(설정!$C$26="원가 가산",$L33*(1+IF($K33="",설정!$C$25,$K33)),$I33/(1-IF($J33="",설정!$C$24,$J33)-IF($K33="",설정!$C$25,$K33))),설정!$C$27)),0))</f>
        <v/>
      </c>
      <c r="N33" s="100" t="n"/>
      <c r="O33" s="91">
        <f>IF($M33="","",IF($N33="",$M33,$N33))</f>
        <v/>
      </c>
      <c r="P33" s="91">
        <f>IF($O33="","",IF(설정!$C$26="원가 가산",$I33*IF($J33="",설정!$C$24,$J33),$O33*IF($J33="",설정!$C$24,$J33)))</f>
        <v/>
      </c>
      <c r="Q33" s="91">
        <f>IF($O33="","",$O33-$I33-$P33)</f>
        <v/>
      </c>
      <c r="R33" s="93">
        <f>IF(N($O33)=0,"",$Q33/$O33)</f>
        <v/>
      </c>
      <c r="S33" s="93">
        <f>IF(N($M33)=0,"",$O33/$M33-1)</f>
        <v/>
      </c>
      <c r="T33" s="93">
        <f>IF(N($L33)=0,"",$O33/$L33-1)</f>
        <v/>
      </c>
      <c r="U33" s="91">
        <f>IF($O33="","",$O33*$H33)</f>
        <v/>
      </c>
      <c r="V33" s="94">
        <f>IF($Q33="","",$Q33*$H33)</f>
        <v/>
      </c>
    </row>
    <row r="34">
      <c r="B34" s="56" t="n"/>
      <c r="C34" s="78" t="n"/>
      <c r="D34" s="51" t="n"/>
      <c r="E34" s="51" t="n"/>
      <c r="F34" s="52" t="n"/>
      <c r="G34" s="100" t="n"/>
      <c r="H34" s="53" t="n"/>
      <c r="I34" s="90">
        <f>IF($D34="","",IF($D34="수입",IF(N($F34)=0,"",$F34*IF($E34="USD",설정!$C$11,IF($E34="CNY",설정!$C$12,1))*(1+설정!$C$17)),IF(N($G34)=0,"",$G34*(1+설정!$C$23))))</f>
        <v/>
      </c>
      <c r="J34" s="101" t="n"/>
      <c r="K34" s="101" t="n"/>
      <c r="L34" s="91">
        <f>IF($I34="","",IFERROR(IF(설정!$C$26="원가 가산",$I34*(1+IF($J34="",설정!$C$24,$J34)),$I34/(1-IF($J34="",설정!$C$24,$J34))),0))</f>
        <v/>
      </c>
      <c r="M34" s="91">
        <f>IF($I34="","",IFERROR(IF(설정!$C$27&lt;=1,ROUND(IF(설정!$C$26="원가 가산",$L34*(1+IF($K34="",설정!$C$25,$K34)),$I34/(1-IF($J34="",설정!$C$24,$J34)-IF($K34="",설정!$C$25,$K34))),0),CEILING(IF(설정!$C$26="원가 가산",$L34*(1+IF($K34="",설정!$C$25,$K34)),$I34/(1-IF($J34="",설정!$C$24,$J34)-IF($K34="",설정!$C$25,$K34))),설정!$C$27)),0))</f>
        <v/>
      </c>
      <c r="N34" s="100" t="n"/>
      <c r="O34" s="91">
        <f>IF($M34="","",IF($N34="",$M34,$N34))</f>
        <v/>
      </c>
      <c r="P34" s="91">
        <f>IF($O34="","",IF(설정!$C$26="원가 가산",$I34*IF($J34="",설정!$C$24,$J34),$O34*IF($J34="",설정!$C$24,$J34)))</f>
        <v/>
      </c>
      <c r="Q34" s="91">
        <f>IF($O34="","",$O34-$I34-$P34)</f>
        <v/>
      </c>
      <c r="R34" s="93">
        <f>IF(N($O34)=0,"",$Q34/$O34)</f>
        <v/>
      </c>
      <c r="S34" s="93">
        <f>IF(N($M34)=0,"",$O34/$M34-1)</f>
        <v/>
      </c>
      <c r="T34" s="93">
        <f>IF(N($L34)=0,"",$O34/$L34-1)</f>
        <v/>
      </c>
      <c r="U34" s="91">
        <f>IF($O34="","",$O34*$H34)</f>
        <v/>
      </c>
      <c r="V34" s="94">
        <f>IF($Q34="","",$Q34*$H34)</f>
        <v/>
      </c>
    </row>
    <row r="35">
      <c r="B35" s="56" t="n"/>
      <c r="C35" s="78" t="n"/>
      <c r="D35" s="51" t="n"/>
      <c r="E35" s="51" t="n"/>
      <c r="F35" s="52" t="n"/>
      <c r="G35" s="100" t="n"/>
      <c r="H35" s="53" t="n"/>
      <c r="I35" s="90">
        <f>IF($D35="","",IF($D35="수입",IF(N($F35)=0,"",$F35*IF($E35="USD",설정!$C$11,IF($E35="CNY",설정!$C$12,1))*(1+설정!$C$17)),IF(N($G35)=0,"",$G35*(1+설정!$C$23))))</f>
        <v/>
      </c>
      <c r="J35" s="101" t="n"/>
      <c r="K35" s="101" t="n"/>
      <c r="L35" s="91">
        <f>IF($I35="","",IFERROR(IF(설정!$C$26="원가 가산",$I35*(1+IF($J35="",설정!$C$24,$J35)),$I35/(1-IF($J35="",설정!$C$24,$J35))),0))</f>
        <v/>
      </c>
      <c r="M35" s="91">
        <f>IF($I35="","",IFERROR(IF(설정!$C$27&lt;=1,ROUND(IF(설정!$C$26="원가 가산",$L35*(1+IF($K35="",설정!$C$25,$K35)),$I35/(1-IF($J35="",설정!$C$24,$J35)-IF($K35="",설정!$C$25,$K35))),0),CEILING(IF(설정!$C$26="원가 가산",$L35*(1+IF($K35="",설정!$C$25,$K35)),$I35/(1-IF($J35="",설정!$C$24,$J35)-IF($K35="",설정!$C$25,$K35))),설정!$C$27)),0))</f>
        <v/>
      </c>
      <c r="N35" s="100" t="n"/>
      <c r="O35" s="91">
        <f>IF($M35="","",IF($N35="",$M35,$N35))</f>
        <v/>
      </c>
      <c r="P35" s="91">
        <f>IF($O35="","",IF(설정!$C$26="원가 가산",$I35*IF($J35="",설정!$C$24,$J35),$O35*IF($J35="",설정!$C$24,$J35)))</f>
        <v/>
      </c>
      <c r="Q35" s="91">
        <f>IF($O35="","",$O35-$I35-$P35)</f>
        <v/>
      </c>
      <c r="R35" s="93">
        <f>IF(N($O35)=0,"",$Q35/$O35)</f>
        <v/>
      </c>
      <c r="S35" s="93">
        <f>IF(N($M35)=0,"",$O35/$M35-1)</f>
        <v/>
      </c>
      <c r="T35" s="93">
        <f>IF(N($L35)=0,"",$O35/$L35-1)</f>
        <v/>
      </c>
      <c r="U35" s="91">
        <f>IF($O35="","",$O35*$H35)</f>
        <v/>
      </c>
      <c r="V35" s="94">
        <f>IF($Q35="","",$Q35*$H35)</f>
        <v/>
      </c>
    </row>
    <row r="36">
      <c r="B36" s="56" t="n"/>
      <c r="C36" s="78" t="n"/>
      <c r="D36" s="51" t="n"/>
      <c r="E36" s="51" t="n"/>
      <c r="F36" s="52" t="n"/>
      <c r="G36" s="100" t="n"/>
      <c r="H36" s="53" t="n"/>
      <c r="I36" s="90">
        <f>IF($D36="","",IF($D36="수입",IF(N($F36)=0,"",$F36*IF($E36="USD",설정!$C$11,IF($E36="CNY",설정!$C$12,1))*(1+설정!$C$17)),IF(N($G36)=0,"",$G36*(1+설정!$C$23))))</f>
        <v/>
      </c>
      <c r="J36" s="101" t="n"/>
      <c r="K36" s="101" t="n"/>
      <c r="L36" s="91">
        <f>IF($I36="","",IFERROR(IF(설정!$C$26="원가 가산",$I36*(1+IF($J36="",설정!$C$24,$J36)),$I36/(1-IF($J36="",설정!$C$24,$J36))),0))</f>
        <v/>
      </c>
      <c r="M36" s="91">
        <f>IF($I36="","",IFERROR(IF(설정!$C$27&lt;=1,ROUND(IF(설정!$C$26="원가 가산",$L36*(1+IF($K36="",설정!$C$25,$K36)),$I36/(1-IF($J36="",설정!$C$24,$J36)-IF($K36="",설정!$C$25,$K36))),0),CEILING(IF(설정!$C$26="원가 가산",$L36*(1+IF($K36="",설정!$C$25,$K36)),$I36/(1-IF($J36="",설정!$C$24,$J36)-IF($K36="",설정!$C$25,$K36))),설정!$C$27)),0))</f>
        <v/>
      </c>
      <c r="N36" s="100" t="n"/>
      <c r="O36" s="91">
        <f>IF($M36="","",IF($N36="",$M36,$N36))</f>
        <v/>
      </c>
      <c r="P36" s="91">
        <f>IF($O36="","",IF(설정!$C$26="원가 가산",$I36*IF($J36="",설정!$C$24,$J36),$O36*IF($J36="",설정!$C$24,$J36)))</f>
        <v/>
      </c>
      <c r="Q36" s="91">
        <f>IF($O36="","",$O36-$I36-$P36)</f>
        <v/>
      </c>
      <c r="R36" s="93">
        <f>IF(N($O36)=0,"",$Q36/$O36)</f>
        <v/>
      </c>
      <c r="S36" s="93">
        <f>IF(N($M36)=0,"",$O36/$M36-1)</f>
        <v/>
      </c>
      <c r="T36" s="93">
        <f>IF(N($L36)=0,"",$O36/$L36-1)</f>
        <v/>
      </c>
      <c r="U36" s="91">
        <f>IF($O36="","",$O36*$H36)</f>
        <v/>
      </c>
      <c r="V36" s="94">
        <f>IF($Q36="","",$Q36*$H36)</f>
        <v/>
      </c>
    </row>
    <row r="37">
      <c r="B37" s="56" t="n"/>
      <c r="C37" s="78" t="n"/>
      <c r="D37" s="51" t="n"/>
      <c r="E37" s="51" t="n"/>
      <c r="F37" s="52" t="n"/>
      <c r="G37" s="100" t="n"/>
      <c r="H37" s="53" t="n"/>
      <c r="I37" s="90">
        <f>IF($D37="","",IF($D37="수입",IF(N($F37)=0,"",$F37*IF($E37="USD",설정!$C$11,IF($E37="CNY",설정!$C$12,1))*(1+설정!$C$17)),IF(N($G37)=0,"",$G37*(1+설정!$C$23))))</f>
        <v/>
      </c>
      <c r="J37" s="101" t="n"/>
      <c r="K37" s="101" t="n"/>
      <c r="L37" s="91">
        <f>IF($I37="","",IFERROR(IF(설정!$C$26="원가 가산",$I37*(1+IF($J37="",설정!$C$24,$J37)),$I37/(1-IF($J37="",설정!$C$24,$J37))),0))</f>
        <v/>
      </c>
      <c r="M37" s="91">
        <f>IF($I37="","",IFERROR(IF(설정!$C$27&lt;=1,ROUND(IF(설정!$C$26="원가 가산",$L37*(1+IF($K37="",설정!$C$25,$K37)),$I37/(1-IF($J37="",설정!$C$24,$J37)-IF($K37="",설정!$C$25,$K37))),0),CEILING(IF(설정!$C$26="원가 가산",$L37*(1+IF($K37="",설정!$C$25,$K37)),$I37/(1-IF($J37="",설정!$C$24,$J37)-IF($K37="",설정!$C$25,$K37))),설정!$C$27)),0))</f>
        <v/>
      </c>
      <c r="N37" s="100" t="n"/>
      <c r="O37" s="91">
        <f>IF($M37="","",IF($N37="",$M37,$N37))</f>
        <v/>
      </c>
      <c r="P37" s="91">
        <f>IF($O37="","",IF(설정!$C$26="원가 가산",$I37*IF($J37="",설정!$C$24,$J37),$O37*IF($J37="",설정!$C$24,$J37)))</f>
        <v/>
      </c>
      <c r="Q37" s="91">
        <f>IF($O37="","",$O37-$I37-$P37)</f>
        <v/>
      </c>
      <c r="R37" s="93">
        <f>IF(N($O37)=0,"",$Q37/$O37)</f>
        <v/>
      </c>
      <c r="S37" s="93">
        <f>IF(N($M37)=0,"",$O37/$M37-1)</f>
        <v/>
      </c>
      <c r="T37" s="93">
        <f>IF(N($L37)=0,"",$O37/$L37-1)</f>
        <v/>
      </c>
      <c r="U37" s="91">
        <f>IF($O37="","",$O37*$H37)</f>
        <v/>
      </c>
      <c r="V37" s="94">
        <f>IF($Q37="","",$Q37*$H37)</f>
        <v/>
      </c>
    </row>
    <row r="38">
      <c r="B38" s="56" t="n"/>
      <c r="C38" s="78" t="n"/>
      <c r="D38" s="51" t="n"/>
      <c r="E38" s="51" t="n"/>
      <c r="F38" s="52" t="n"/>
      <c r="G38" s="100" t="n"/>
      <c r="H38" s="53" t="n"/>
      <c r="I38" s="90">
        <f>IF($D38="","",IF($D38="수입",IF(N($F38)=0,"",$F38*IF($E38="USD",설정!$C$11,IF($E38="CNY",설정!$C$12,1))*(1+설정!$C$17)),IF(N($G38)=0,"",$G38*(1+설정!$C$23))))</f>
        <v/>
      </c>
      <c r="J38" s="101" t="n"/>
      <c r="K38" s="101" t="n"/>
      <c r="L38" s="91">
        <f>IF($I38="","",IFERROR(IF(설정!$C$26="원가 가산",$I38*(1+IF($J38="",설정!$C$24,$J38)),$I38/(1-IF($J38="",설정!$C$24,$J38))),0))</f>
        <v/>
      </c>
      <c r="M38" s="91">
        <f>IF($I38="","",IFERROR(IF(설정!$C$27&lt;=1,ROUND(IF(설정!$C$26="원가 가산",$L38*(1+IF($K38="",설정!$C$25,$K38)),$I38/(1-IF($J38="",설정!$C$24,$J38)-IF($K38="",설정!$C$25,$K38))),0),CEILING(IF(설정!$C$26="원가 가산",$L38*(1+IF($K38="",설정!$C$25,$K38)),$I38/(1-IF($J38="",설정!$C$24,$J38)-IF($K38="",설정!$C$25,$K38))),설정!$C$27)),0))</f>
        <v/>
      </c>
      <c r="N38" s="100" t="n"/>
      <c r="O38" s="91">
        <f>IF($M38="","",IF($N38="",$M38,$N38))</f>
        <v/>
      </c>
      <c r="P38" s="91">
        <f>IF($O38="","",IF(설정!$C$26="원가 가산",$I38*IF($J38="",설정!$C$24,$J38),$O38*IF($J38="",설정!$C$24,$J38)))</f>
        <v/>
      </c>
      <c r="Q38" s="91">
        <f>IF($O38="","",$O38-$I38-$P38)</f>
        <v/>
      </c>
      <c r="R38" s="93">
        <f>IF(N($O38)=0,"",$Q38/$O38)</f>
        <v/>
      </c>
      <c r="S38" s="93">
        <f>IF(N($M38)=0,"",$O38/$M38-1)</f>
        <v/>
      </c>
      <c r="T38" s="93">
        <f>IF(N($L38)=0,"",$O38/$L38-1)</f>
        <v/>
      </c>
      <c r="U38" s="91">
        <f>IF($O38="","",$O38*$H38)</f>
        <v/>
      </c>
      <c r="V38" s="94">
        <f>IF($Q38="","",$Q38*$H38)</f>
        <v/>
      </c>
    </row>
    <row r="39">
      <c r="B39" s="56" t="n"/>
      <c r="C39" s="78" t="n"/>
      <c r="D39" s="51" t="n"/>
      <c r="E39" s="51" t="n"/>
      <c r="F39" s="52" t="n"/>
      <c r="G39" s="100" t="n"/>
      <c r="H39" s="53" t="n"/>
      <c r="I39" s="90">
        <f>IF($D39="","",IF($D39="수입",IF(N($F39)=0,"",$F39*IF($E39="USD",설정!$C$11,IF($E39="CNY",설정!$C$12,1))*(1+설정!$C$17)),IF(N($G39)=0,"",$G39*(1+설정!$C$23))))</f>
        <v/>
      </c>
      <c r="J39" s="101" t="n"/>
      <c r="K39" s="101" t="n"/>
      <c r="L39" s="91">
        <f>IF($I39="","",IFERROR(IF(설정!$C$26="원가 가산",$I39*(1+IF($J39="",설정!$C$24,$J39)),$I39/(1-IF($J39="",설정!$C$24,$J39))),0))</f>
        <v/>
      </c>
      <c r="M39" s="91">
        <f>IF($I39="","",IFERROR(IF(설정!$C$27&lt;=1,ROUND(IF(설정!$C$26="원가 가산",$L39*(1+IF($K39="",설정!$C$25,$K39)),$I39/(1-IF($J39="",설정!$C$24,$J39)-IF($K39="",설정!$C$25,$K39))),0),CEILING(IF(설정!$C$26="원가 가산",$L39*(1+IF($K39="",설정!$C$25,$K39)),$I39/(1-IF($J39="",설정!$C$24,$J39)-IF($K39="",설정!$C$25,$K39))),설정!$C$27)),0))</f>
        <v/>
      </c>
      <c r="N39" s="100" t="n"/>
      <c r="O39" s="91">
        <f>IF($M39="","",IF($N39="",$M39,$N39))</f>
        <v/>
      </c>
      <c r="P39" s="91">
        <f>IF($O39="","",IF(설정!$C$26="원가 가산",$I39*IF($J39="",설정!$C$24,$J39),$O39*IF($J39="",설정!$C$24,$J39)))</f>
        <v/>
      </c>
      <c r="Q39" s="91">
        <f>IF($O39="","",$O39-$I39-$P39)</f>
        <v/>
      </c>
      <c r="R39" s="93">
        <f>IF(N($O39)=0,"",$Q39/$O39)</f>
        <v/>
      </c>
      <c r="S39" s="93">
        <f>IF(N($M39)=0,"",$O39/$M39-1)</f>
        <v/>
      </c>
      <c r="T39" s="93">
        <f>IF(N($L39)=0,"",$O39/$L39-1)</f>
        <v/>
      </c>
      <c r="U39" s="91">
        <f>IF($O39="","",$O39*$H39)</f>
        <v/>
      </c>
      <c r="V39" s="94">
        <f>IF($Q39="","",$Q39*$H39)</f>
        <v/>
      </c>
    </row>
    <row r="40">
      <c r="B40" s="56" t="n"/>
      <c r="C40" s="78" t="n"/>
      <c r="D40" s="51" t="n"/>
      <c r="E40" s="51" t="n"/>
      <c r="F40" s="52" t="n"/>
      <c r="G40" s="100" t="n"/>
      <c r="H40" s="53" t="n"/>
      <c r="I40" s="90">
        <f>IF($D40="","",IF($D40="수입",IF(N($F40)=0,"",$F40*IF($E40="USD",설정!$C$11,IF($E40="CNY",설정!$C$12,1))*(1+설정!$C$17)),IF(N($G40)=0,"",$G40*(1+설정!$C$23))))</f>
        <v/>
      </c>
      <c r="J40" s="101" t="n"/>
      <c r="K40" s="101" t="n"/>
      <c r="L40" s="91">
        <f>IF($I40="","",IFERROR(IF(설정!$C$26="원가 가산",$I40*(1+IF($J40="",설정!$C$24,$J40)),$I40/(1-IF($J40="",설정!$C$24,$J40))),0))</f>
        <v/>
      </c>
      <c r="M40" s="91">
        <f>IF($I40="","",IFERROR(IF(설정!$C$27&lt;=1,ROUND(IF(설정!$C$26="원가 가산",$L40*(1+IF($K40="",설정!$C$25,$K40)),$I40/(1-IF($J40="",설정!$C$24,$J40)-IF($K40="",설정!$C$25,$K40))),0),CEILING(IF(설정!$C$26="원가 가산",$L40*(1+IF($K40="",설정!$C$25,$K40)),$I40/(1-IF($J40="",설정!$C$24,$J40)-IF($K40="",설정!$C$25,$K40))),설정!$C$27)),0))</f>
        <v/>
      </c>
      <c r="N40" s="100" t="n"/>
      <c r="O40" s="91">
        <f>IF($M40="","",IF($N40="",$M40,$N40))</f>
        <v/>
      </c>
      <c r="P40" s="91">
        <f>IF($O40="","",IF(설정!$C$26="원가 가산",$I40*IF($J40="",설정!$C$24,$J40),$O40*IF($J40="",설정!$C$24,$J40)))</f>
        <v/>
      </c>
      <c r="Q40" s="91">
        <f>IF($O40="","",$O40-$I40-$P40)</f>
        <v/>
      </c>
      <c r="R40" s="93">
        <f>IF(N($O40)=0,"",$Q40/$O40)</f>
        <v/>
      </c>
      <c r="S40" s="93">
        <f>IF(N($M40)=0,"",$O40/$M40-1)</f>
        <v/>
      </c>
      <c r="T40" s="93">
        <f>IF(N($L40)=0,"",$O40/$L40-1)</f>
        <v/>
      </c>
      <c r="U40" s="91">
        <f>IF($O40="","",$O40*$H40)</f>
        <v/>
      </c>
      <c r="V40" s="94">
        <f>IF($Q40="","",$Q40*$H40)</f>
        <v/>
      </c>
    </row>
    <row r="41">
      <c r="B41" s="56" t="n"/>
      <c r="C41" s="78" t="n"/>
      <c r="D41" s="51" t="n"/>
      <c r="E41" s="51" t="n"/>
      <c r="F41" s="52" t="n"/>
      <c r="G41" s="100" t="n"/>
      <c r="H41" s="53" t="n"/>
      <c r="I41" s="90">
        <f>IF($D41="","",IF($D41="수입",IF(N($F41)=0,"",$F41*IF($E41="USD",설정!$C$11,IF($E41="CNY",설정!$C$12,1))*(1+설정!$C$17)),IF(N($G41)=0,"",$G41*(1+설정!$C$23))))</f>
        <v/>
      </c>
      <c r="J41" s="101" t="n"/>
      <c r="K41" s="101" t="n"/>
      <c r="L41" s="91">
        <f>IF($I41="","",IFERROR(IF(설정!$C$26="원가 가산",$I41*(1+IF($J41="",설정!$C$24,$J41)),$I41/(1-IF($J41="",설정!$C$24,$J41))),0))</f>
        <v/>
      </c>
      <c r="M41" s="91">
        <f>IF($I41="","",IFERROR(IF(설정!$C$27&lt;=1,ROUND(IF(설정!$C$26="원가 가산",$L41*(1+IF($K41="",설정!$C$25,$K41)),$I41/(1-IF($J41="",설정!$C$24,$J41)-IF($K41="",설정!$C$25,$K41))),0),CEILING(IF(설정!$C$26="원가 가산",$L41*(1+IF($K41="",설정!$C$25,$K41)),$I41/(1-IF($J41="",설정!$C$24,$J41)-IF($K41="",설정!$C$25,$K41))),설정!$C$27)),0))</f>
        <v/>
      </c>
      <c r="N41" s="100" t="n"/>
      <c r="O41" s="91">
        <f>IF($M41="","",IF($N41="",$M41,$N41))</f>
        <v/>
      </c>
      <c r="P41" s="91">
        <f>IF($O41="","",IF(설정!$C$26="원가 가산",$I41*IF($J41="",설정!$C$24,$J41),$O41*IF($J41="",설정!$C$24,$J41)))</f>
        <v/>
      </c>
      <c r="Q41" s="91">
        <f>IF($O41="","",$O41-$I41-$P41)</f>
        <v/>
      </c>
      <c r="R41" s="93">
        <f>IF(N($O41)=0,"",$Q41/$O41)</f>
        <v/>
      </c>
      <c r="S41" s="93">
        <f>IF(N($M41)=0,"",$O41/$M41-1)</f>
        <v/>
      </c>
      <c r="T41" s="93">
        <f>IF(N($L41)=0,"",$O41/$L41-1)</f>
        <v/>
      </c>
      <c r="U41" s="91">
        <f>IF($O41="","",$O41*$H41)</f>
        <v/>
      </c>
      <c r="V41" s="94">
        <f>IF($Q41="","",$Q41*$H41)</f>
        <v/>
      </c>
    </row>
    <row r="42">
      <c r="B42" s="56" t="n"/>
      <c r="C42" s="78" t="n"/>
      <c r="D42" s="51" t="n"/>
      <c r="E42" s="51" t="n"/>
      <c r="F42" s="52" t="n"/>
      <c r="G42" s="100" t="n"/>
      <c r="H42" s="53" t="n"/>
      <c r="I42" s="90">
        <f>IF($D42="","",IF($D42="수입",IF(N($F42)=0,"",$F42*IF($E42="USD",설정!$C$11,IF($E42="CNY",설정!$C$12,1))*(1+설정!$C$17)),IF(N($G42)=0,"",$G42*(1+설정!$C$23))))</f>
        <v/>
      </c>
      <c r="J42" s="101" t="n"/>
      <c r="K42" s="101" t="n"/>
      <c r="L42" s="91">
        <f>IF($I42="","",IFERROR(IF(설정!$C$26="원가 가산",$I42*(1+IF($J42="",설정!$C$24,$J42)),$I42/(1-IF($J42="",설정!$C$24,$J42))),0))</f>
        <v/>
      </c>
      <c r="M42" s="91">
        <f>IF($I42="","",IFERROR(IF(설정!$C$27&lt;=1,ROUND(IF(설정!$C$26="원가 가산",$L42*(1+IF($K42="",설정!$C$25,$K42)),$I42/(1-IF($J42="",설정!$C$24,$J42)-IF($K42="",설정!$C$25,$K42))),0),CEILING(IF(설정!$C$26="원가 가산",$L42*(1+IF($K42="",설정!$C$25,$K42)),$I42/(1-IF($J42="",설정!$C$24,$J42)-IF($K42="",설정!$C$25,$K42))),설정!$C$27)),0))</f>
        <v/>
      </c>
      <c r="N42" s="100" t="n"/>
      <c r="O42" s="91">
        <f>IF($M42="","",IF($N42="",$M42,$N42))</f>
        <v/>
      </c>
      <c r="P42" s="91">
        <f>IF($O42="","",IF(설정!$C$26="원가 가산",$I42*IF($J42="",설정!$C$24,$J42),$O42*IF($J42="",설정!$C$24,$J42)))</f>
        <v/>
      </c>
      <c r="Q42" s="91">
        <f>IF($O42="","",$O42-$I42-$P42)</f>
        <v/>
      </c>
      <c r="R42" s="93">
        <f>IF(N($O42)=0,"",$Q42/$O42)</f>
        <v/>
      </c>
      <c r="S42" s="93">
        <f>IF(N($M42)=0,"",$O42/$M42-1)</f>
        <v/>
      </c>
      <c r="T42" s="93">
        <f>IF(N($L42)=0,"",$O42/$L42-1)</f>
        <v/>
      </c>
      <c r="U42" s="91">
        <f>IF($O42="","",$O42*$H42)</f>
        <v/>
      </c>
      <c r="V42" s="94">
        <f>IF($Q42="","",$Q42*$H42)</f>
        <v/>
      </c>
    </row>
    <row r="43">
      <c r="B43" s="56" t="n"/>
      <c r="C43" s="78" t="n"/>
      <c r="D43" s="51" t="n"/>
      <c r="E43" s="51" t="n"/>
      <c r="F43" s="52" t="n"/>
      <c r="G43" s="100" t="n"/>
      <c r="H43" s="53" t="n"/>
      <c r="I43" s="90">
        <f>IF($D43="","",IF($D43="수입",IF(N($F43)=0,"",$F43*IF($E43="USD",설정!$C$11,IF($E43="CNY",설정!$C$12,1))*(1+설정!$C$17)),IF(N($G43)=0,"",$G43*(1+설정!$C$23))))</f>
        <v/>
      </c>
      <c r="J43" s="101" t="n"/>
      <c r="K43" s="101" t="n"/>
      <c r="L43" s="91">
        <f>IF($I43="","",IFERROR(IF(설정!$C$26="원가 가산",$I43*(1+IF($J43="",설정!$C$24,$J43)),$I43/(1-IF($J43="",설정!$C$24,$J43))),0))</f>
        <v/>
      </c>
      <c r="M43" s="91">
        <f>IF($I43="","",IFERROR(IF(설정!$C$27&lt;=1,ROUND(IF(설정!$C$26="원가 가산",$L43*(1+IF($K43="",설정!$C$25,$K43)),$I43/(1-IF($J43="",설정!$C$24,$J43)-IF($K43="",설정!$C$25,$K43))),0),CEILING(IF(설정!$C$26="원가 가산",$L43*(1+IF($K43="",설정!$C$25,$K43)),$I43/(1-IF($J43="",설정!$C$24,$J43)-IF($K43="",설정!$C$25,$K43))),설정!$C$27)),0))</f>
        <v/>
      </c>
      <c r="N43" s="100" t="n"/>
      <c r="O43" s="91">
        <f>IF($M43="","",IF($N43="",$M43,$N43))</f>
        <v/>
      </c>
      <c r="P43" s="91">
        <f>IF($O43="","",IF(설정!$C$26="원가 가산",$I43*IF($J43="",설정!$C$24,$J43),$O43*IF($J43="",설정!$C$24,$J43)))</f>
        <v/>
      </c>
      <c r="Q43" s="91">
        <f>IF($O43="","",$O43-$I43-$P43)</f>
        <v/>
      </c>
      <c r="R43" s="93">
        <f>IF(N($O43)=0,"",$Q43/$O43)</f>
        <v/>
      </c>
      <c r="S43" s="93">
        <f>IF(N($M43)=0,"",$O43/$M43-1)</f>
        <v/>
      </c>
      <c r="T43" s="93">
        <f>IF(N($L43)=0,"",$O43/$L43-1)</f>
        <v/>
      </c>
      <c r="U43" s="91">
        <f>IF($O43="","",$O43*$H43)</f>
        <v/>
      </c>
      <c r="V43" s="94">
        <f>IF($Q43="","",$Q43*$H43)</f>
        <v/>
      </c>
    </row>
    <row r="44">
      <c r="B44" s="56" t="n"/>
      <c r="C44" s="78" t="n"/>
      <c r="D44" s="51" t="n"/>
      <c r="E44" s="51" t="n"/>
      <c r="F44" s="52" t="n"/>
      <c r="G44" s="100" t="n"/>
      <c r="H44" s="53" t="n"/>
      <c r="I44" s="90">
        <f>IF($D44="","",IF($D44="수입",IF(N($F44)=0,"",$F44*IF($E44="USD",설정!$C$11,IF($E44="CNY",설정!$C$12,1))*(1+설정!$C$17)),IF(N($G44)=0,"",$G44*(1+설정!$C$23))))</f>
        <v/>
      </c>
      <c r="J44" s="101" t="n"/>
      <c r="K44" s="101" t="n"/>
      <c r="L44" s="91">
        <f>IF($I44="","",IFERROR(IF(설정!$C$26="원가 가산",$I44*(1+IF($J44="",설정!$C$24,$J44)),$I44/(1-IF($J44="",설정!$C$24,$J44))),0))</f>
        <v/>
      </c>
      <c r="M44" s="91">
        <f>IF($I44="","",IFERROR(IF(설정!$C$27&lt;=1,ROUND(IF(설정!$C$26="원가 가산",$L44*(1+IF($K44="",설정!$C$25,$K44)),$I44/(1-IF($J44="",설정!$C$24,$J44)-IF($K44="",설정!$C$25,$K44))),0),CEILING(IF(설정!$C$26="원가 가산",$L44*(1+IF($K44="",설정!$C$25,$K44)),$I44/(1-IF($J44="",설정!$C$24,$J44)-IF($K44="",설정!$C$25,$K44))),설정!$C$27)),0))</f>
        <v/>
      </c>
      <c r="N44" s="100" t="n"/>
      <c r="O44" s="91">
        <f>IF($M44="","",IF($N44="",$M44,$N44))</f>
        <v/>
      </c>
      <c r="P44" s="91">
        <f>IF($O44="","",IF(설정!$C$26="원가 가산",$I44*IF($J44="",설정!$C$24,$J44),$O44*IF($J44="",설정!$C$24,$J44)))</f>
        <v/>
      </c>
      <c r="Q44" s="91">
        <f>IF($O44="","",$O44-$I44-$P44)</f>
        <v/>
      </c>
      <c r="R44" s="93">
        <f>IF(N($O44)=0,"",$Q44/$O44)</f>
        <v/>
      </c>
      <c r="S44" s="93">
        <f>IF(N($M44)=0,"",$O44/$M44-1)</f>
        <v/>
      </c>
      <c r="T44" s="93">
        <f>IF(N($L44)=0,"",$O44/$L44-1)</f>
        <v/>
      </c>
      <c r="U44" s="91">
        <f>IF($O44="","",$O44*$H44)</f>
        <v/>
      </c>
      <c r="V44" s="94">
        <f>IF($Q44="","",$Q44*$H44)</f>
        <v/>
      </c>
    </row>
    <row r="45">
      <c r="B45" s="56" t="n"/>
      <c r="C45" s="78" t="n"/>
      <c r="D45" s="51" t="n"/>
      <c r="E45" s="51" t="n"/>
      <c r="F45" s="52" t="n"/>
      <c r="G45" s="100" t="n"/>
      <c r="H45" s="53" t="n"/>
      <c r="I45" s="90">
        <f>IF($D45="","",IF($D45="수입",IF(N($F45)=0,"",$F45*IF($E45="USD",설정!$C$11,IF($E45="CNY",설정!$C$12,1))*(1+설정!$C$17)),IF(N($G45)=0,"",$G45*(1+설정!$C$23))))</f>
        <v/>
      </c>
      <c r="J45" s="101" t="n"/>
      <c r="K45" s="101" t="n"/>
      <c r="L45" s="91">
        <f>IF($I45="","",IFERROR(IF(설정!$C$26="원가 가산",$I45*(1+IF($J45="",설정!$C$24,$J45)),$I45/(1-IF($J45="",설정!$C$24,$J45))),0))</f>
        <v/>
      </c>
      <c r="M45" s="91">
        <f>IF($I45="","",IFERROR(IF(설정!$C$27&lt;=1,ROUND(IF(설정!$C$26="원가 가산",$L45*(1+IF($K45="",설정!$C$25,$K45)),$I45/(1-IF($J45="",설정!$C$24,$J45)-IF($K45="",설정!$C$25,$K45))),0),CEILING(IF(설정!$C$26="원가 가산",$L45*(1+IF($K45="",설정!$C$25,$K45)),$I45/(1-IF($J45="",설정!$C$24,$J45)-IF($K45="",설정!$C$25,$K45))),설정!$C$27)),0))</f>
        <v/>
      </c>
      <c r="N45" s="100" t="n"/>
      <c r="O45" s="91">
        <f>IF($M45="","",IF($N45="",$M45,$N45))</f>
        <v/>
      </c>
      <c r="P45" s="91">
        <f>IF($O45="","",IF(설정!$C$26="원가 가산",$I45*IF($J45="",설정!$C$24,$J45),$O45*IF($J45="",설정!$C$24,$J45)))</f>
        <v/>
      </c>
      <c r="Q45" s="91">
        <f>IF($O45="","",$O45-$I45-$P45)</f>
        <v/>
      </c>
      <c r="R45" s="93">
        <f>IF(N($O45)=0,"",$Q45/$O45)</f>
        <v/>
      </c>
      <c r="S45" s="93">
        <f>IF(N($M45)=0,"",$O45/$M45-1)</f>
        <v/>
      </c>
      <c r="T45" s="93">
        <f>IF(N($L45)=0,"",$O45/$L45-1)</f>
        <v/>
      </c>
      <c r="U45" s="91">
        <f>IF($O45="","",$O45*$H45)</f>
        <v/>
      </c>
      <c r="V45" s="94">
        <f>IF($Q45="","",$Q45*$H45)</f>
        <v/>
      </c>
    </row>
    <row r="46" ht="18" customHeight="1" thickBot="1">
      <c r="B46" s="58" t="inlineStr">
        <is>
          <t>합계</t>
        </is>
      </c>
      <c r="C46" s="79" t="n"/>
      <c r="D46" s="59" t="n"/>
      <c r="E46" s="59" t="n"/>
      <c r="F46" s="59" t="n"/>
      <c r="G46" s="59" t="n"/>
      <c r="H46" s="60">
        <f>SUM(H6:H45)</f>
        <v/>
      </c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96">
        <f>IFERROR(SUM(V6:V45)/SUM(U6:U45),0)</f>
        <v/>
      </c>
      <c r="S46" s="59" t="n"/>
      <c r="T46" s="59" t="n"/>
      <c r="U46" s="95">
        <f>SUM(U6:U45)</f>
        <v/>
      </c>
      <c r="V46" s="97">
        <f>SUM(V6:V45)</f>
        <v/>
      </c>
    </row>
    <row r="48">
      <c r="B48" s="102" t="inlineStr">
        <is>
          <t>① 구분(수입/국내)에 따라 F열(외화 단가) 또는 G열(원화 매입단가) 하나만 채웁니다.</t>
        </is>
      </c>
      <c r="C48" s="4" t="n"/>
    </row>
    <row r="49">
      <c r="B49" s="102" t="inlineStr">
        <is>
          <t>② J·K열을 비워 두면 설정 시트의 기본 판관비율·영업이익률이 적용됩니다.</t>
        </is>
      </c>
      <c r="C49" s="4" t="n"/>
    </row>
    <row r="50">
      <c r="B50" s="102" t="inlineStr">
        <is>
          <t>③ M열 기준 유통가를 영업에 전달하고, 영업이 정한 값을 N열(노란 칸)에 적습니다. 비워 두면 기준가가 그대로 적용됩니다.</t>
        </is>
      </c>
      <c r="C50" s="4" t="n"/>
    </row>
    <row r="51">
      <c r="B51" s="103" t="inlineStr">
        <is>
          <t>④ 최종 유통가가 BEP 가격보다 낮으면 N열이 빨갛게 표시됩니다 — 팔수록 손해라는 뜻입니다.</t>
        </is>
      </c>
      <c r="C51" s="3" t="n"/>
    </row>
    <row r="52">
      <c r="B52" s="102" t="inlineStr">
        <is>
          <t>⑤ 보고용으로 추린 표는 [유통가 보고] 시트에 있습니다.</t>
        </is>
      </c>
      <c r="C52" s="3" t="n"/>
    </row>
    <row r="53">
      <c r="B53" s="102" t="inlineStr">
        <is>
          <t>표시 금액은 모두 부가세 별도입니다.</t>
        </is>
      </c>
      <c r="C53" s="4" t="n"/>
    </row>
  </sheetData>
  <conditionalFormatting sqref="N6:N45">
    <cfRule type="expression" priority="1" dxfId="1">
      <formula>AND(N($N6)&gt;0,N($L6)&gt;0,$N6&lt;$L6)</formula>
    </cfRule>
  </conditionalFormatting>
  <conditionalFormatting sqref="S6:S45">
    <cfRule type="expression" priority="2" dxfId="0">
      <formula>AND(N($O6)&gt;0,$O6&lt;$M6)</formula>
    </cfRule>
  </conditionalFormatting>
  <dataValidations count="2">
    <dataValidation sqref="D6:D45" showDropDown="0" showInputMessage="0" showErrorMessage="0" allowBlank="1" type="list">
      <formula1>"수입,국내"</formula1>
    </dataValidation>
    <dataValidation sqref="E6:E45" showDropDown="0" showInputMessage="0" showErrorMessage="0" allowBlank="1" type="list">
      <formula1>"USD,CNY,KRW"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62"/>
  <sheetViews>
    <sheetView showGridLines="0" workbookViewId="0">
      <selection activeCell="E45" sqref="E45"/>
    </sheetView>
  </sheetViews>
  <sheetFormatPr baseColWidth="8" defaultRowHeight="17.4"/>
  <cols>
    <col width="3.69921875" customWidth="1" min="1" max="1"/>
    <col width="104" customWidth="1" min="2" max="2"/>
  </cols>
  <sheetData>
    <row r="1" ht="15" customHeight="1"/>
    <row r="2" ht="21" customHeight="1">
      <c r="B2" s="1" t="inlineStr">
        <is>
          <t>사용 안내</t>
        </is>
      </c>
    </row>
    <row r="3" ht="9" customHeight="1" thickBot="1">
      <c r="B3" s="2" t="n"/>
    </row>
    <row r="4">
      <c r="B4" s="9" t="inlineStr">
        <is>
          <t>1. 매달 할 일 — 환율 갱신</t>
        </is>
      </c>
    </row>
    <row r="5">
      <c r="B5" s="6" t="inlineStr">
        <is>
          <t>① 서울외국환중개 월평균 매매기준율 페이지를 엽니다.</t>
        </is>
      </c>
    </row>
    <row r="6">
      <c r="B6" s="6" t="inlineStr">
        <is>
          <t xml:space="preserve">   http://www.smbs.biz/ExRate/MonAvgStdExRate.jsp</t>
        </is>
      </c>
    </row>
    <row r="7">
      <c r="B7" s="6" t="inlineStr">
        <is>
          <t>② 표에서 해당 월의 미국(USD)과 중국(CNY) 값을 확인합니다.</t>
        </is>
      </c>
    </row>
    <row r="8">
      <c r="B8" s="6" t="inlineStr">
        <is>
          <t>③ [월평균환율] 시트에 한 줄 추가합니다. 연월은 2026-08 처럼 텍스트로 입력하세요.</t>
        </is>
      </c>
    </row>
    <row r="9">
      <c r="B9" s="6" t="inlineStr">
        <is>
          <t>④ 끝입니다. 오늘이 9월이면 8월 값이 자동으로 잡힙니다.</t>
        </is>
      </c>
    </row>
    <row r="10">
      <c r="B10" s="6" t="n"/>
    </row>
    <row r="11">
      <c r="B11" s="10" t="inlineStr">
        <is>
          <t>2. 자동으로 받아오려면 — 파워쿼리 (Windows 엑셀)</t>
        </is>
      </c>
    </row>
    <row r="12">
      <c r="B12" s="6" t="inlineStr">
        <is>
          <t>① [데이터] 탭 → [데이터 가져오기] → [기타 원본에서] → [웹]</t>
        </is>
      </c>
    </row>
    <row r="13">
      <c r="B13" s="6" t="inlineStr">
        <is>
          <t>② 위 주소를 넣고 [확인] → 탐색 창에서 월평균 표를 고른 뒤 [데이터 변환]</t>
        </is>
      </c>
    </row>
    <row r="14">
      <c r="B14" s="6" t="inlineStr">
        <is>
          <t>③ 연월 · USD · CNY 열만 남기고, 연월을 텍스트로 바꾼 뒤 [닫기 및 로드]</t>
        </is>
      </c>
    </row>
    <row r="15">
      <c r="B15" s="6" t="inlineStr">
        <is>
          <t>④ 이후에는 [데이터] → [모두 새로 고침] 한 번이면 갱신됩니다.</t>
        </is>
      </c>
    </row>
    <row r="16">
      <c r="B16" s="7" t="inlineStr">
        <is>
          <t>※ 이 절차는 실제 사이트에서 확인하지 못했습니다. 사이트 표 구조에 따라 ③단계 열 이름이 다를 수 있고,</t>
        </is>
      </c>
    </row>
    <row r="17">
      <c r="B17" s="7" t="inlineStr">
        <is>
          <t xml:space="preserve">   맥 엑셀은 웹 커넥터 기능이 제한됩니다. 잘 안 되면 위 1번 수동 입력으로 충분합니다.</t>
        </is>
      </c>
    </row>
    <row r="18">
      <c r="B18" s="6" t="n"/>
    </row>
    <row r="19">
      <c r="B19" s="10" t="inlineStr">
        <is>
          <t>3. 계산 흐름</t>
        </is>
      </c>
    </row>
    <row r="20">
      <c r="B20" s="6" t="inlineStr">
        <is>
          <t>외화 단가 × 환율 = 원화 환산가</t>
        </is>
      </c>
    </row>
    <row r="21">
      <c r="B21" s="6" t="inlineStr">
        <is>
          <t>원화 환산가 × (1 + 부대비용률) = 입고원가</t>
        </is>
      </c>
    </row>
    <row r="22">
      <c r="B22" s="6" t="inlineStr">
        <is>
          <t>입고원가 × (1 + 이윤율)  ← 원가 가산 방식</t>
        </is>
      </c>
    </row>
    <row r="23">
      <c r="B23" s="6" t="inlineStr">
        <is>
          <t>입고원가 ÷ (1 − 이윤율)  ← 판매가 마진 방식</t>
        </is>
      </c>
    </row>
    <row r="24">
      <c r="B24" s="6" t="inlineStr">
        <is>
          <t>→ 절상 단위로 올림 = 판매단가</t>
        </is>
      </c>
    </row>
    <row r="25">
      <c r="B25" s="6" t="n"/>
    </row>
    <row r="26">
      <c r="B26" s="10" t="inlineStr">
        <is>
          <t>4. 이윤 30%의 두 가지 뜻 — 하나로 고정하세요</t>
        </is>
      </c>
    </row>
    <row r="27">
      <c r="B27" s="6" t="inlineStr">
        <is>
          <t>원가 가산 30%   : 입고원가 10,000원 → 판매가 13,000원 (판매가 대비 마진 23.1%)</t>
        </is>
      </c>
    </row>
    <row r="28">
      <c r="B28" s="6" t="inlineStr">
        <is>
          <t>판매가 마진 30% : 입고원가 10,000원 → 판매가 14,286원 (원가 대비 42.9%)</t>
        </is>
      </c>
    </row>
    <row r="29">
      <c r="B29" s="6" t="inlineStr">
        <is>
          <t>회계상 매출총이익률은 매출 기준이라, 원가에 30%를 붙이면 장부에는 23.1%로 찍힙니다.</t>
        </is>
      </c>
    </row>
    <row r="30">
      <c r="B30" s="6" t="n"/>
    </row>
    <row r="31">
      <c r="B31" s="10" t="inlineStr">
        <is>
          <t>5. 상품 판매가 (상품판매가 시트) — 수입품 · 국내구매품 유통</t>
        </is>
      </c>
    </row>
    <row r="32">
      <c r="B32" s="6" t="inlineStr">
        <is>
          <t>매입원가 → (판관비) → BEP 가격 → (영업이익) → 기준 유통가 → 영업이 최종 유통가 결정</t>
        </is>
      </c>
    </row>
    <row r="33">
      <c r="B33" s="6" t="n"/>
    </row>
    <row r="34">
      <c r="B34" s="6" t="inlineStr">
        <is>
          <t>① 매입원가</t>
        </is>
      </c>
    </row>
    <row r="35">
      <c r="B35" s="6" t="inlineStr">
        <is>
          <t xml:space="preserve">   수입품: 외화 단가 × 환율 × (1 + 수입 부대비용률)</t>
        </is>
      </c>
    </row>
    <row r="36">
      <c r="B36" s="6" t="inlineStr">
        <is>
          <t xml:space="preserve">   국내구매품: 원화 매입단가 × (1 + 국내 부대비용률)</t>
        </is>
      </c>
    </row>
    <row r="37">
      <c r="B37" s="6" t="inlineStr">
        <is>
          <t>② BEP 가격 — 팔아도 남지도 밑지지도 않는 가격. 이 밑으로 내려가면 손해입니다.</t>
        </is>
      </c>
    </row>
    <row r="38">
      <c r="B38" s="6" t="inlineStr">
        <is>
          <t xml:space="preserve">   매출 대비 방식: 매입원가 ÷ (1 − 판관비율)</t>
        </is>
      </c>
    </row>
    <row r="39">
      <c r="B39" s="6" t="inlineStr">
        <is>
          <t xml:space="preserve">   원가 가산 방식: 매입원가 × (1 + 판관비율)</t>
        </is>
      </c>
    </row>
    <row r="40">
      <c r="B40" s="6" t="inlineStr">
        <is>
          <t>③ 기준 유통가 — BEP에 목표 영업이익을 얹은 값. 영업에 전달하는 가격입니다.</t>
        </is>
      </c>
    </row>
    <row r="41">
      <c r="B41" s="6" t="inlineStr">
        <is>
          <t xml:space="preserve">   매출 대비 방식: 매입원가 ÷ (1 − 판관비율 − 영업이익률)</t>
        </is>
      </c>
    </row>
    <row r="42">
      <c r="B42" s="6" t="inlineStr">
        <is>
          <t xml:space="preserve">   원가 가산 방식: BEP 가격 × (1 + 영업이익률)</t>
        </is>
      </c>
    </row>
    <row r="43">
      <c r="B43" s="6" t="inlineStr">
        <is>
          <t>④ 최종 유통가 — 영업이 협상해 정한 값을 노란 칸(L열)에 적습니다.</t>
        </is>
      </c>
    </row>
    <row r="44">
      <c r="B44" s="6" t="inlineStr">
        <is>
          <t xml:space="preserve">   비워 두면 기준 유통가가 그대로 적용되고, 적어 넣으면 실제 영업이익률이 즉시 다시 계산됩니다.</t>
        </is>
      </c>
    </row>
    <row r="45">
      <c r="B45" s="6" t="inlineStr">
        <is>
          <t xml:space="preserve">   BEP보다 낮게 적으면 그 칸이 빨갛게 바뀝니다.</t>
        </is>
      </c>
    </row>
    <row r="46">
      <c r="B46" s="6" t="n"/>
    </row>
    <row r="47">
      <c r="B47" s="6" t="inlineStr">
        <is>
          <t>두 계산 방식의 차이 (매입원가 100,000원 · 판관비 25% · 영업이익 10% 기준)</t>
        </is>
      </c>
    </row>
    <row r="48">
      <c r="B48" s="6" t="inlineStr">
        <is>
          <t xml:space="preserve">   매출 대비: BEP 133,333원 → 기준 유통가 153,846원 (영업이익률 정확히 10%)</t>
        </is>
      </c>
    </row>
    <row r="49">
      <c r="B49" s="6" t="inlineStr">
        <is>
          <t xml:space="preserve">   원가 가산: BEP 125,000원 → 기준 유통가 137,500원 (실제 영업이익률 9.1%)</t>
        </is>
      </c>
    </row>
    <row r="50">
      <c r="B50" s="6" t="inlineStr">
        <is>
          <t xml:space="preserve">   BEP를 '영업이익 0원인 지점'으로 쓰시려면 매출 대비 방식이 맞습니다.</t>
        </is>
      </c>
    </row>
    <row r="51">
      <c r="B51" s="6" t="n"/>
    </row>
    <row r="52">
      <c r="B52" s="10" t="inlineStr">
        <is>
          <t>6. 두 판매가 시트의 차이</t>
        </is>
      </c>
    </row>
    <row r="53">
      <c r="B53" s="6" t="inlineStr">
        <is>
          <t>판매가산출 시트 : 수입 자재를 태성정밀에 공급하는 가격. 부대비용 + 이윤으로 단순 계산.</t>
        </is>
      </c>
    </row>
    <row r="54">
      <c r="B54" s="6" t="inlineStr">
        <is>
          <t>상품판매가 시트 : 수입품·국내구매품을 유통하는 가격. 판관비를 태워 BEP를 먼저 잡습니다.</t>
        </is>
      </c>
    </row>
    <row r="55">
      <c r="B55" s="6" t="n"/>
    </row>
    <row r="56">
      <c r="B56" s="10" t="inlineStr">
        <is>
          <t>7. 확인이 필요한 항목</t>
        </is>
      </c>
    </row>
    <row r="57">
      <c r="B57" s="6" t="inlineStr">
        <is>
          <t>· 부대비용 8%는 물품대에 일괄 적용됩니다. 관세는 HS코드별, 운임은 중량·부피 기준이라</t>
        </is>
      </c>
    </row>
    <row r="58">
      <c r="B58" s="6" t="inlineStr">
        <is>
          <t xml:space="preserve">  품목별 편차가 크면 통관비·운임을 실비로 분리하는 편이 정확합니다.</t>
        </is>
      </c>
    </row>
    <row r="59">
      <c r="B59" s="6" t="inlineStr">
        <is>
          <t>· 환율 기준 시점(매입일 / 통관 과세환율 / 결제일)을 정해야 재무 대사가 맞습니다.</t>
        </is>
      </c>
    </row>
    <row r="60">
      <c r="B60" s="6" t="inlineStr">
        <is>
          <t>· 판관비율 25%는 임의의 출발값입니다. 실제 손익계산서의 판관비 ÷ 매출액으로 바꿔 주세요.</t>
        </is>
      </c>
    </row>
    <row r="61">
      <c r="B61" s="6" t="inlineStr">
        <is>
          <t>· 판관비를 품목별로 배부할지(매출 비례 / 물량 비례) 정해 두면 품목별 H열로 조정할 수 있습니다.</t>
        </is>
      </c>
    </row>
    <row r="62" ht="18" customHeight="1" thickBot="1">
      <c r="B62" s="8" t="inlineStr">
        <is>
          <t>· 이 파일의 환율과 품목은 모두 예시입니다. 실제 값으로 교체한 뒤 사용하세요.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33"/>
  <sheetViews>
    <sheetView showGridLines="0" topLeftCell="A7" workbookViewId="0">
      <selection activeCell="D26" sqref="D26"/>
    </sheetView>
  </sheetViews>
  <sheetFormatPr baseColWidth="8" defaultRowHeight="17.4"/>
  <cols>
    <col width="3.69921875" customWidth="1" min="1" max="1"/>
    <col width="18.296875" customWidth="1" min="2" max="2"/>
    <col width="12.69921875" customWidth="1" min="3" max="3"/>
    <col width="81.3984375" customWidth="1" min="4" max="4"/>
  </cols>
  <sheetData>
    <row r="1" ht="15" customHeight="1"/>
    <row r="2" ht="21" customHeight="1">
      <c r="B2" s="1" t="inlineStr">
        <is>
          <t>수입자재 판매가 산출 — 설정</t>
        </is>
      </c>
    </row>
    <row r="3">
      <c r="B3" s="4" t="inlineStr">
        <is>
          <t>플로우텍 수입 → 태성정밀 공급 · 모든 금액 부가세 별도</t>
        </is>
      </c>
    </row>
    <row r="4" ht="9.6" customHeight="1" thickBot="1"/>
    <row r="5">
      <c r="B5" s="45" t="inlineStr">
        <is>
          <t>■ 환율</t>
        </is>
      </c>
      <c r="C5" s="11" t="n"/>
      <c r="D5" s="12" t="n"/>
    </row>
    <row r="6">
      <c r="B6" s="13" t="inlineStr">
        <is>
          <t>기준 선택</t>
        </is>
      </c>
      <c r="C6" s="33" t="inlineStr">
        <is>
          <t>전월 평균</t>
        </is>
      </c>
      <c r="D6" s="28" t="inlineStr">
        <is>
          <t>전월 평균 / 당월 평균 / 직접 입력 중에서 고릅니다.</t>
        </is>
      </c>
    </row>
    <row r="7">
      <c r="B7" s="13" t="inlineStr">
        <is>
          <t>대상 월(날짜)</t>
        </is>
      </c>
      <c r="C7" s="104">
        <f>EOMONTH(TODAY(),IF($C$6="당월 평균",0,-1))</f>
        <v/>
      </c>
      <c r="D7" s="28" t="inlineStr">
        <is>
          <t>오늘 날짜에서 자동 계산됩니다. 손대지 마세요.</t>
        </is>
      </c>
    </row>
    <row r="8">
      <c r="B8" s="13" t="inlineStr">
        <is>
          <t>적용 연월</t>
        </is>
      </c>
      <c r="C8" s="35">
        <f>IF($C$6="직접 입력",$C$9,RIGHT("0000"&amp;YEAR($C$7),4)&amp;"-"&amp;RIGHT("00"&amp;MONTH($C$7),2))</f>
        <v/>
      </c>
      <c r="D8" s="28" t="inlineStr">
        <is>
          <t>월평균환율 시트에서 이 연월을 찾아 환율을 가져옵니다.</t>
        </is>
      </c>
    </row>
    <row r="9">
      <c r="B9" s="13" t="inlineStr">
        <is>
          <t>직접 지정 연월</t>
        </is>
      </c>
      <c r="C9" s="36" t="inlineStr">
        <is>
          <t>2026-08</t>
        </is>
      </c>
      <c r="D9" s="28" t="inlineStr">
        <is>
          <t>기준 선택이 "직접 입력"일 때만 사용합니다. YYYY-MM 형식.</t>
        </is>
      </c>
    </row>
    <row r="10">
      <c r="B10" s="37" t="n"/>
      <c r="C10" s="38" t="n"/>
      <c r="D10" s="29" t="n"/>
    </row>
    <row r="11">
      <c r="B11" s="13" t="inlineStr">
        <is>
          <t>적용 USD / 원</t>
        </is>
      </c>
      <c r="C11" s="39">
        <f>IF($C$6="직접 입력",$C$13,IFERROR(INDEX(월평균환율!$C$6:$C$101,MATCH($C$8,월평균환율!$B$6:$B$101,0)),$C$13))</f>
        <v/>
      </c>
      <c r="D11" s="28" t="inlineStr">
        <is>
          <t>월평균환율 시트에 해당 연월이 없으면 아래 수동 환율을 씁니다.</t>
        </is>
      </c>
    </row>
    <row r="12">
      <c r="B12" s="13" t="inlineStr">
        <is>
          <t>적용 CNY / 원</t>
        </is>
      </c>
      <c r="C12" s="39">
        <f>IF($C$6="직접 입력",$C$14,IFERROR(INDEX(월평균환율!$D$6:$D$101,MATCH($C$8,월평균환율!$B$6:$B$101,0)),$C$14))</f>
        <v/>
      </c>
      <c r="D12" s="29" t="n"/>
    </row>
    <row r="13">
      <c r="B13" s="13" t="inlineStr">
        <is>
          <t>수동 USD / 원</t>
        </is>
      </c>
      <c r="C13" s="40" t="n">
        <v>1380</v>
      </c>
      <c r="D13" s="30" t="inlineStr">
        <is>
          <t>예비값입니다. 실제 환율로 바꿔 주세요.</t>
        </is>
      </c>
    </row>
    <row r="14">
      <c r="B14" s="13" t="inlineStr">
        <is>
          <t>수동 CNY / 원</t>
        </is>
      </c>
      <c r="C14" s="40" t="n">
        <v>190</v>
      </c>
      <c r="D14" s="30" t="inlineStr">
        <is>
          <t>예비값입니다. 실제 환율로 바꿔 주세요.</t>
        </is>
      </c>
    </row>
    <row r="15">
      <c r="B15" s="37" t="n"/>
      <c r="C15" s="38" t="n"/>
      <c r="D15" s="29" t="n"/>
    </row>
    <row r="16">
      <c r="B16" s="41" t="inlineStr">
        <is>
          <t>■ 원가 · 이윤</t>
        </is>
      </c>
      <c r="C16" s="42" t="n"/>
      <c r="D16" s="31" t="n"/>
    </row>
    <row r="17">
      <c r="B17" s="13" t="inlineStr">
        <is>
          <t>부대비용률</t>
        </is>
      </c>
      <c r="C17" s="105" t="n">
        <v>0.1</v>
      </c>
      <c r="D17" s="28" t="inlineStr">
        <is>
          <t>운임 · 관세 · 통관수수료 · 창고/내륙운송 · 환리스크를 통으로 잡은 비율.</t>
        </is>
      </c>
    </row>
    <row r="18">
      <c r="B18" s="13" t="inlineStr">
        <is>
          <t>이윤율</t>
        </is>
      </c>
      <c r="C18" s="105" t="n">
        <v>0.3</v>
      </c>
      <c r="D18" s="28" t="inlineStr">
        <is>
          <t>품목별로 다르게 주려면 판매가산출 시트 G열에 개별 입력하세요.</t>
        </is>
      </c>
    </row>
    <row r="19">
      <c r="B19" s="13" t="inlineStr">
        <is>
          <t>계산 방식</t>
        </is>
      </c>
      <c r="C19" s="33" t="inlineStr">
        <is>
          <t>판매가 마진</t>
        </is>
      </c>
      <c r="D19" s="28" t="inlineStr">
        <is>
          <t>"원가 가산" = 입고원가 × 1.30 · "판매가 마진" = 입고원가 ÷ 0.70</t>
        </is>
      </c>
    </row>
    <row r="20">
      <c r="B20" s="13" t="inlineStr">
        <is>
          <t>판매단가 절상 단위</t>
        </is>
      </c>
      <c r="C20" s="44" t="n">
        <v>100</v>
      </c>
      <c r="D20" s="28" t="inlineStr">
        <is>
          <t>1이면 반올림, 10/100/1000이면 그 단위로 올림 처리합니다.</t>
        </is>
      </c>
    </row>
    <row r="21">
      <c r="B21" s="37" t="n"/>
      <c r="C21" s="38" t="n"/>
      <c r="D21" s="29" t="n"/>
    </row>
    <row r="22">
      <c r="B22" s="41" t="inlineStr">
        <is>
          <t>■ 상품 판매가 (수입품 · 국내구매품 유통)</t>
        </is>
      </c>
      <c r="C22" s="42" t="n"/>
      <c r="D22" s="31" t="n"/>
    </row>
    <row r="23">
      <c r="B23" s="13" t="inlineStr">
        <is>
          <t>국내 부대비용률</t>
        </is>
      </c>
      <c r="C23" s="105" t="n">
        <v>0</v>
      </c>
      <c r="D23" s="28" t="inlineStr">
        <is>
          <t>국내구매품의 운반비 · 검수비 등. 없으면 0%.</t>
        </is>
      </c>
    </row>
    <row r="24">
      <c r="B24" s="13" t="inlineStr">
        <is>
          <t>판관비율</t>
        </is>
      </c>
      <c r="C24" s="105" t="n">
        <v>0.08699999999999999</v>
      </c>
      <c r="D24" s="28" t="inlineStr">
        <is>
          <t>인건비 · 임차료 · 물류 · 판촉 등 판매관리비. 실제 손익계산서 비율로 바꾸세요.</t>
        </is>
      </c>
    </row>
    <row r="25">
      <c r="B25" s="13" t="inlineStr">
        <is>
          <t>영업이익률</t>
        </is>
      </c>
      <c r="C25" s="105" t="n">
        <v>0.1</v>
      </c>
      <c r="D25" s="28" t="inlineStr">
        <is>
          <t>기준 유통가에 얹을 목표 영업이익.</t>
        </is>
      </c>
    </row>
    <row r="26">
      <c r="B26" s="13" t="inlineStr">
        <is>
          <t>상품가 계산 방식</t>
        </is>
      </c>
      <c r="C26" s="33" t="inlineStr">
        <is>
          <t>매출 대비</t>
        </is>
      </c>
      <c r="D26" s="28" t="inlineStr">
        <is>
          <t>"매출 대비" = 매입원가 ÷ (1 − 판관비율 − 영업이익률) · "원가 가산" = 매입원가 × (1+판관비율) × (1+영업이익률)</t>
        </is>
      </c>
    </row>
    <row r="27">
      <c r="B27" s="13" t="inlineStr">
        <is>
          <t>기준유통가 절상 단위</t>
        </is>
      </c>
      <c r="C27" s="44" t="n">
        <v>100</v>
      </c>
      <c r="D27" s="28" t="inlineStr">
        <is>
          <t>1이면 반올림, 100/1000이면 그 단위로 올림.</t>
        </is>
      </c>
    </row>
    <row r="28">
      <c r="B28" s="14" t="n"/>
      <c r="D28" s="15" t="n"/>
    </row>
    <row r="29">
      <c r="B29" s="41" t="inlineStr">
        <is>
          <t>■ 범례</t>
        </is>
      </c>
      <c r="C29" s="18" t="n"/>
      <c r="D29" s="17" t="n"/>
    </row>
    <row r="30">
      <c r="B30" s="13" t="inlineStr">
        <is>
          <t>파란 글씨</t>
        </is>
      </c>
      <c r="C30" s="26" t="inlineStr">
        <is>
          <t>직접 입력하는 칸</t>
        </is>
      </c>
      <c r="D30" s="15" t="n"/>
    </row>
    <row r="31">
      <c r="B31" s="19" t="inlineStr">
        <is>
          <t>노란 채우기</t>
        </is>
      </c>
      <c r="C31" s="26" t="inlineStr">
        <is>
          <t>반드시 확인하고 채워야 하는 칸</t>
        </is>
      </c>
      <c r="D31" s="15" t="n"/>
    </row>
    <row r="32">
      <c r="B32" s="13" t="inlineStr">
        <is>
          <t>검정 글씨</t>
        </is>
      </c>
      <c r="C32" s="26" t="inlineStr">
        <is>
          <t>수식 — 손대지 마세요</t>
        </is>
      </c>
      <c r="D32" s="15" t="n"/>
    </row>
    <row r="33" ht="18" customHeight="1" thickBot="1">
      <c r="B33" s="46" t="inlineStr">
        <is>
          <t>초록 글씨</t>
        </is>
      </c>
      <c r="C33" s="27" t="inlineStr">
        <is>
          <t>다른 시트를 참조하는 수식</t>
        </is>
      </c>
      <c r="D33" s="20" t="n"/>
    </row>
  </sheetData>
  <dataValidations count="3">
    <dataValidation sqref="C6" showDropDown="0" showInputMessage="0" showErrorMessage="0" allowBlank="0" type="list">
      <formula1>"전월 평균,당월 평균,직접 입력"</formula1>
    </dataValidation>
    <dataValidation sqref="C19" showDropDown="0" showInputMessage="0" showErrorMessage="0" allowBlank="0" type="list">
      <formula1>"원가 가산,판매가 마진"</formula1>
    </dataValidation>
    <dataValidation sqref="C26" showDropDown="0" showInputMessage="0" showErrorMessage="0" allowBlank="0" type="list">
      <formula1>"매출 대비,원가 가산"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31"/>
  <sheetViews>
    <sheetView showGridLines="0" zoomScaleNormal="100" workbookViewId="0">
      <selection activeCell="D17" sqref="D17"/>
    </sheetView>
  </sheetViews>
  <sheetFormatPr baseColWidth="8" defaultRowHeight="17.4"/>
  <cols>
    <col width="3.69921875" customWidth="1" min="1" max="1"/>
    <col width="10.8984375" customWidth="1" min="2" max="2"/>
    <col width="12" customWidth="1" min="3" max="4"/>
    <col width="30" customWidth="1" min="5" max="5"/>
  </cols>
  <sheetData>
    <row r="1" ht="15" customHeight="1"/>
    <row r="2" ht="21" customHeight="1">
      <c r="B2" s="1" t="inlineStr">
        <is>
          <t>월평균 매매기준율</t>
        </is>
      </c>
    </row>
    <row r="3">
      <c r="B3" s="4" t="inlineStr">
        <is>
          <t>출처: 서울외국환중개 http://www.smbs.biz/ExRate/MonAvgStdExRate.jsp — 매달 갱신하세요.</t>
        </is>
      </c>
    </row>
    <row r="4" ht="18" customHeight="1" thickBot="1"/>
    <row r="5">
      <c r="B5" s="21" t="inlineStr">
        <is>
          <t>연월</t>
        </is>
      </c>
      <c r="C5" s="22" t="inlineStr">
        <is>
          <t>USD / 원</t>
        </is>
      </c>
      <c r="D5" s="22" t="inlineStr">
        <is>
          <t>CNY / 원</t>
        </is>
      </c>
      <c r="E5" s="121" t="inlineStr">
        <is>
          <t>확인</t>
        </is>
      </c>
    </row>
    <row r="6">
      <c r="B6" s="32" t="inlineStr">
        <is>
          <t>2026-03</t>
        </is>
      </c>
      <c r="C6" s="106" t="n">
        <v>1391.83</v>
      </c>
      <c r="D6" s="106" t="n">
        <v>195.36</v>
      </c>
      <c r="E6" s="122">
        <f>IF($B6="","",IF(COUNTIF($B$6:$B$30,$B6)&gt;1,"중복 — 위쪽 줄이 먼저 잡힙니다",IF(OR(LEN($B6)&lt;&gt;7,IFERROR(VALUE(RIGHT($B6,2)),0)&lt;1,IFERROR(VALUE(RIGHT($B6,2)),0)&gt;12),"연월 오류","")))</f>
        <v/>
      </c>
    </row>
    <row r="7">
      <c r="B7" s="32" t="inlineStr">
        <is>
          <t>2026-02</t>
        </is>
      </c>
      <c r="C7" s="106" t="n">
        <v>1423.36</v>
      </c>
      <c r="D7" s="106" t="n">
        <v>199.82</v>
      </c>
      <c r="E7" s="122">
        <f>IF($B7="","",IF(COUNTIF($B$6:$B$30,$B7)&gt;1,"중복 — 위쪽 줄이 먼저 잡힙니다",IF(OR(LEN($B7)&lt;&gt;7,IFERROR(VALUE(RIGHT($B7,2)),0)&lt;1,IFERROR(VALUE(RIGHT($B7,2)),0)&gt;12),"연월 오류","")))</f>
        <v/>
      </c>
    </row>
    <row r="8">
      <c r="B8" s="32" t="inlineStr">
        <is>
          <t>2026-01</t>
        </is>
      </c>
      <c r="C8" s="106" t="n">
        <v>1457.77</v>
      </c>
      <c r="D8" s="106" t="n">
        <v>205.04</v>
      </c>
      <c r="E8" s="122">
        <f>IF($B8="","",IF(COUNTIF($B$6:$B$30,$B8)&gt;1,"중복 — 위쪽 줄이 먼저 잡힙니다",IF(OR(LEN($B8)&lt;&gt;7,IFERROR(VALUE(RIGHT($B8,2)),0)&lt;1,IFERROR(VALUE(RIGHT($B8,2)),0)&gt;12),"연월 오류","")))</f>
        <v/>
      </c>
    </row>
    <row r="9">
      <c r="B9" s="32" t="inlineStr">
        <is>
          <t>2026-00</t>
        </is>
      </c>
      <c r="C9" s="106" t="n">
        <v>1467.4</v>
      </c>
      <c r="D9" s="106" t="n">
        <v>208.26</v>
      </c>
      <c r="E9" s="122">
        <f>IF($B9="","",IF(COUNTIF($B$6:$B$30,$B9)&gt;1,"중복 — 위쪽 줄이 먼저 잡힙니다",IF(OR(LEN($B9)&lt;&gt;7,IFERROR(VALUE(RIGHT($B9,2)),0)&lt;1,IFERROR(VALUE(RIGHT($B9,2)),0)&gt;12),"연월 오류","")))</f>
        <v/>
      </c>
    </row>
    <row r="10">
      <c r="B10" s="32" t="inlineStr">
        <is>
          <t>2026-01</t>
        </is>
      </c>
      <c r="C10" s="106" t="n">
        <v>1456.51</v>
      </c>
      <c r="D10" s="106" t="n">
        <v>209.08</v>
      </c>
      <c r="E10" s="122">
        <f>IF($B10="","",IF(COUNTIF($B$6:$B$30,$B10)&gt;1,"중복 — 위쪽 줄이 먼저 잡힙니다",IF(OR(LEN($B10)&lt;&gt;7,IFERROR(VALUE(RIGHT($B10,2)),0)&lt;1,IFERROR(VALUE(RIGHT($B10,2)),0)&gt;12),"연월 오류","")))</f>
        <v/>
      </c>
    </row>
    <row r="11">
      <c r="B11" s="32" t="inlineStr">
        <is>
          <t>2026-02</t>
        </is>
      </c>
      <c r="C11" s="106" t="n">
        <v>1449.32</v>
      </c>
      <c r="D11" s="106" t="n">
        <v>209.73</v>
      </c>
      <c r="E11" s="122">
        <f>IF($B11="","",IF(COUNTIF($B$6:$B$30,$B11)&gt;1,"중복 — 위쪽 줄이 먼저 잡힙니다",IF(OR(LEN($B11)&lt;&gt;7,IFERROR(VALUE(RIGHT($B11,2)),0)&lt;1,IFERROR(VALUE(RIGHT($B11,2)),0)&gt;12),"연월 오류","")))</f>
        <v/>
      </c>
    </row>
    <row r="12">
      <c r="B12" s="32" t="inlineStr">
        <is>
          <t>2026-03</t>
        </is>
      </c>
      <c r="C12" s="106" t="n">
        <v>1486.64</v>
      </c>
      <c r="D12" s="106" t="n">
        <v>215.65</v>
      </c>
      <c r="E12" s="122">
        <f>IF($B12="","",IF(COUNTIF($B$6:$B$30,$B12)&gt;1,"중복 — 위쪽 줄이 먼저 잡힙니다",IF(OR(LEN($B12)&lt;&gt;7,IFERROR(VALUE(RIGHT($B12,2)),0)&lt;1,IFERROR(VALUE(RIGHT($B12,2)),0)&gt;12),"연월 오류","")))</f>
        <v/>
      </c>
    </row>
    <row r="13">
      <c r="B13" s="32" t="inlineStr">
        <is>
          <t>2026-04</t>
        </is>
      </c>
      <c r="C13" s="106" t="n">
        <v>1487.39</v>
      </c>
      <c r="D13" s="106" t="n">
        <v>217.41</v>
      </c>
      <c r="E13" s="122">
        <f>IF($B13="","",IF(COUNTIF($B$6:$B$30,$B13)&gt;1,"중복 — 위쪽 줄이 먼저 잡힙니다",IF(OR(LEN($B13)&lt;&gt;7,IFERROR(VALUE(RIGHT($B13,2)),0)&lt;1,IFERROR(VALUE(RIGHT($B13,2)),0)&gt;12),"연월 오류","")))</f>
        <v/>
      </c>
    </row>
    <row r="14">
      <c r="B14" s="32" t="inlineStr">
        <is>
          <t>2026-05</t>
        </is>
      </c>
      <c r="C14" s="106" t="n">
        <v>1490.11</v>
      </c>
      <c r="D14" s="106" t="n">
        <v>219.11</v>
      </c>
      <c r="E14" s="122">
        <f>IF($B14="","",IF(COUNTIF($B$6:$B$30,$B14)&gt;1,"중복 — 위쪽 줄이 먼저 잡힙니다",IF(OR(LEN($B14)&lt;&gt;7,IFERROR(VALUE(RIGHT($B14,2)),0)&lt;1,IFERROR(VALUE(RIGHT($B14,2)),0)&gt;12),"연월 오류","")))</f>
        <v/>
      </c>
    </row>
    <row r="15">
      <c r="B15" s="32" t="inlineStr">
        <is>
          <t>2026-06</t>
        </is>
      </c>
      <c r="C15" s="106" t="n">
        <v>1527.3</v>
      </c>
      <c r="D15" s="106" t="n">
        <v>225.51</v>
      </c>
      <c r="E15" s="122">
        <f>IF($B15="","",IF(COUNTIF($B$6:$B$30,$B15)&gt;1,"중복 — 위쪽 줄이 먼저 잡힙니다",IF(OR(LEN($B15)&lt;&gt;7,IFERROR(VALUE(RIGHT($B15,2)),0)&lt;1,IFERROR(VALUE(RIGHT($B15,2)),0)&gt;12),"연월 오류","")))</f>
        <v/>
      </c>
    </row>
    <row r="16">
      <c r="B16" s="32" t="inlineStr">
        <is>
          <t>2026-07</t>
        </is>
      </c>
      <c r="C16" s="106" t="n">
        <v>1497.43</v>
      </c>
      <c r="D16" s="106" t="n">
        <v>220.94</v>
      </c>
      <c r="E16" s="122">
        <f>IF($B16="","",IF(COUNTIF($B$6:$B$30,$B16)&gt;1,"중복 — 위쪽 줄이 먼저 잡힙니다",IF(OR(LEN($B16)&lt;&gt;7,IFERROR(VALUE(RIGHT($B16,2)),0)&lt;1,IFERROR(VALUE(RIGHT($B16,2)),0)&gt;12),"연월 오류","")))</f>
        <v/>
      </c>
    </row>
    <row r="17">
      <c r="B17" s="32" t="inlineStr">
        <is>
          <t>2026-08</t>
        </is>
      </c>
      <c r="C17" s="106" t="n">
        <v>1406.3</v>
      </c>
      <c r="D17" s="106" t="n">
        <v>208.69</v>
      </c>
      <c r="E17" s="122">
        <f>IF($B17="","",IF(COUNTIF($B$6:$B$30,$B17)&gt;1,"중복 — 위쪽 줄이 먼저 잡힙니다",IF(OR(LEN($B17)&lt;&gt;7,IFERROR(VALUE(RIGHT($B17,2)),0)&lt;1,IFERROR(VALUE(RIGHT($B17,2)),0)&gt;12),"연월 오류","")))</f>
        <v/>
      </c>
    </row>
    <row r="18">
      <c r="B18" s="23" t="n"/>
      <c r="C18" s="107" t="n"/>
      <c r="D18" s="107" t="n"/>
      <c r="E18" s="122">
        <f>IF($B18="","",IF(COUNTIF($B$6:$B$30,$B18)&gt;1,"중복 — 위쪽 줄이 먼저 잡힙니다",IF(OR(LEN($B18)&lt;&gt;7,IFERROR(VALUE(RIGHT($B18,2)),0)&lt;1,IFERROR(VALUE(RIGHT($B18,2)),0)&gt;12),"연월 오류","")))</f>
        <v/>
      </c>
    </row>
    <row r="19">
      <c r="B19" s="23" t="n"/>
      <c r="C19" s="107" t="n"/>
      <c r="D19" s="107" t="n"/>
      <c r="E19" s="122">
        <f>IF($B19="","",IF(COUNTIF($B$6:$B$30,$B19)&gt;1,"중복 — 위쪽 줄이 먼저 잡힙니다",IF(OR(LEN($B19)&lt;&gt;7,IFERROR(VALUE(RIGHT($B19,2)),0)&lt;1,IFERROR(VALUE(RIGHT($B19,2)),0)&gt;12),"연월 오류","")))</f>
        <v/>
      </c>
    </row>
    <row r="20">
      <c r="B20" s="23" t="n"/>
      <c r="C20" s="107" t="n"/>
      <c r="D20" s="107" t="n"/>
      <c r="E20" s="122">
        <f>IF($B20="","",IF(COUNTIF($B$6:$B$30,$B20)&gt;1,"중복 — 위쪽 줄이 먼저 잡힙니다",IF(OR(LEN($B20)&lt;&gt;7,IFERROR(VALUE(RIGHT($B20,2)),0)&lt;1,IFERROR(VALUE(RIGHT($B20,2)),0)&gt;12),"연월 오류","")))</f>
        <v/>
      </c>
    </row>
    <row r="21">
      <c r="B21" s="23" t="n"/>
      <c r="C21" s="107" t="n"/>
      <c r="D21" s="107" t="n"/>
      <c r="E21" s="122">
        <f>IF($B21="","",IF(COUNTIF($B$6:$B$30,$B21)&gt;1,"중복 — 위쪽 줄이 먼저 잡힙니다",IF(OR(LEN($B21)&lt;&gt;7,IFERROR(VALUE(RIGHT($B21,2)),0)&lt;1,IFERROR(VALUE(RIGHT($B21,2)),0)&gt;12),"연월 오류","")))</f>
        <v/>
      </c>
    </row>
    <row r="22">
      <c r="B22" s="23" t="n"/>
      <c r="C22" s="107" t="n"/>
      <c r="D22" s="107" t="n"/>
      <c r="E22" s="122">
        <f>IF($B22="","",IF(COUNTIF($B$6:$B$30,$B22)&gt;1,"중복 — 위쪽 줄이 먼저 잡힙니다",IF(OR(LEN($B22)&lt;&gt;7,IFERROR(VALUE(RIGHT($B22,2)),0)&lt;1,IFERROR(VALUE(RIGHT($B22,2)),0)&gt;12),"연월 오류","")))</f>
        <v/>
      </c>
    </row>
    <row r="23">
      <c r="B23" s="23" t="n"/>
      <c r="C23" s="107" t="n"/>
      <c r="D23" s="107" t="n"/>
      <c r="E23" s="122">
        <f>IF($B23="","",IF(COUNTIF($B$6:$B$30,$B23)&gt;1,"중복 — 위쪽 줄이 먼저 잡힙니다",IF(OR(LEN($B23)&lt;&gt;7,IFERROR(VALUE(RIGHT($B23,2)),0)&lt;1,IFERROR(VALUE(RIGHT($B23,2)),0)&gt;12),"연월 오류","")))</f>
        <v/>
      </c>
    </row>
    <row r="24">
      <c r="B24" s="23" t="n"/>
      <c r="C24" s="107" t="n"/>
      <c r="D24" s="107" t="n"/>
      <c r="E24" s="122">
        <f>IF($B24="","",IF(COUNTIF($B$6:$B$30,$B24)&gt;1,"중복 — 위쪽 줄이 먼저 잡힙니다",IF(OR(LEN($B24)&lt;&gt;7,IFERROR(VALUE(RIGHT($B24,2)),0)&lt;1,IFERROR(VALUE(RIGHT($B24,2)),0)&gt;12),"연월 오류","")))</f>
        <v/>
      </c>
    </row>
    <row r="25">
      <c r="B25" s="23" t="n"/>
      <c r="C25" s="107" t="n"/>
      <c r="D25" s="107" t="n"/>
      <c r="E25" s="122">
        <f>IF($B25="","",IF(COUNTIF($B$6:$B$30,$B25)&gt;1,"중복 — 위쪽 줄이 먼저 잡힙니다",IF(OR(LEN($B25)&lt;&gt;7,IFERROR(VALUE(RIGHT($B25,2)),0)&lt;1,IFERROR(VALUE(RIGHT($B25,2)),0)&gt;12),"연월 오류","")))</f>
        <v/>
      </c>
    </row>
    <row r="26">
      <c r="B26" s="23" t="n"/>
      <c r="C26" s="107" t="n"/>
      <c r="D26" s="107" t="n"/>
      <c r="E26" s="122">
        <f>IF($B26="","",IF(COUNTIF($B$6:$B$30,$B26)&gt;1,"중복 — 위쪽 줄이 먼저 잡힙니다",IF(OR(LEN($B26)&lt;&gt;7,IFERROR(VALUE(RIGHT($B26,2)),0)&lt;1,IFERROR(VALUE(RIGHT($B26,2)),0)&gt;12),"연월 오류","")))</f>
        <v/>
      </c>
    </row>
    <row r="27">
      <c r="B27" s="23" t="n"/>
      <c r="C27" s="107" t="n"/>
      <c r="D27" s="107" t="n"/>
      <c r="E27" s="122">
        <f>IF($B27="","",IF(COUNTIF($B$6:$B$30,$B27)&gt;1,"중복 — 위쪽 줄이 먼저 잡힙니다",IF(OR(LEN($B27)&lt;&gt;7,IFERROR(VALUE(RIGHT($B27,2)),0)&lt;1,IFERROR(VALUE(RIGHT($B27,2)),0)&gt;12),"연월 오류","")))</f>
        <v/>
      </c>
    </row>
    <row r="28">
      <c r="B28" s="23" t="n"/>
      <c r="C28" s="107" t="n"/>
      <c r="D28" s="107" t="n"/>
      <c r="E28" s="122">
        <f>IF($B28="","",IF(COUNTIF($B$6:$B$30,$B28)&gt;1,"중복 — 위쪽 줄이 먼저 잡힙니다",IF(OR(LEN($B28)&lt;&gt;7,IFERROR(VALUE(RIGHT($B28,2)),0)&lt;1,IFERROR(VALUE(RIGHT($B28,2)),0)&gt;12),"연월 오류","")))</f>
        <v/>
      </c>
    </row>
    <row r="29" ht="18" customHeight="1" thickBot="1">
      <c r="B29" s="24" t="n"/>
      <c r="C29" s="108" t="n"/>
      <c r="D29" s="108" t="n"/>
      <c r="E29" s="122">
        <f>IF($B29="","",IF(COUNTIF($B$6:$B$30,$B29)&gt;1,"중복 — 위쪽 줄이 먼저 잡힙니다",IF(OR(LEN($B29)&lt;&gt;7,IFERROR(VALUE(RIGHT($B29,2)),0)&lt;1,IFERROR(VALUE(RIGHT($B29,2)),0)&gt;12),"연월 오류","")))</f>
        <v/>
      </c>
    </row>
    <row r="30">
      <c r="E30" s="122">
        <f>IF($B30="","",IF(COUNTIF($B$6:$B$30,$B30)&gt;1,"중복 — 위쪽 줄이 먼저 잡힙니다",IF(OR(LEN($B30)&lt;&gt;7,IFERROR(VALUE(RIGHT($B30,2)),0)&lt;1,IFERROR(VALUE(RIGHT($B30,2)),0)&gt;12),"연월 오류","")))</f>
        <v/>
      </c>
    </row>
    <row r="31">
      <c r="B31" s="3" t="inlineStr">
        <is>
          <t>연월은 반드시 텍스트 YYYY-MM 형식으로 넣으세요. 날짜로 바뀌면 설정 시트가 값을 찾지 못합니다.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J53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3" customWidth="1" min="4" max="4"/>
    <col width="9" customWidth="1" min="5" max="5"/>
    <col width="13" customWidth="1" min="6" max="6"/>
    <col width="14" customWidth="1" min="7" max="7"/>
    <col width="12" customWidth="1" min="8" max="8"/>
    <col width="16" customWidth="1" min="9" max="9"/>
    <col width="16" customWidth="1" min="10" max="10"/>
  </cols>
  <sheetData>
    <row r="2">
      <c r="B2" s="109" t="inlineStr">
        <is>
          <t>최종 유통가 보고</t>
        </is>
      </c>
    </row>
    <row r="3">
      <c r="B3" s="110">
        <f>"적용 연월 "&amp;설정!$C$8&amp;"  ·  USD "&amp;TEXT(설정!$C$11,"#,##0.00")&amp;"  ·  CNY "&amp;TEXT(설정!$C$12,"#,##0.00")&amp;"  ·  판관비 "&amp;TEXT(설정!$C$24,"0.0%")&amp;"  ·  목표 영업이익 "&amp;TEXT(설정!$C$25,"0.0%")&amp;"  ·  "&amp;설정!$C$26&amp;" 방식"</f>
        <v/>
      </c>
    </row>
    <row r="4">
      <c r="B4" s="102">
        <f>"작성일 "&amp;TEXT(TODAY(),"YYYY-MM-DD")&amp;"   |   금액은 모두 부가세 별도"</f>
        <v/>
      </c>
    </row>
    <row r="6" ht="32" customHeight="1">
      <c r="B6" s="111" t="inlineStr">
        <is>
          <t>상품</t>
        </is>
      </c>
      <c r="C6" s="111" t="inlineStr">
        <is>
          <t>품목코드</t>
        </is>
      </c>
      <c r="D6" s="111" t="inlineStr">
        <is>
          <t>매입단가</t>
        </is>
      </c>
      <c r="E6" s="111" t="inlineStr">
        <is>
          <t>수량</t>
        </is>
      </c>
      <c r="F6" s="111" t="inlineStr">
        <is>
          <t>BEP 가격</t>
        </is>
      </c>
      <c r="G6" s="111" t="inlineStr">
        <is>
          <t>최종 유통가</t>
        </is>
      </c>
      <c r="H6" s="111" t="inlineStr">
        <is>
          <t>영업이익률
(실제)</t>
        </is>
      </c>
      <c r="I6" s="111" t="inlineStr">
        <is>
          <t>매출 합계</t>
        </is>
      </c>
      <c r="J6" s="111" t="inlineStr">
        <is>
          <t>영업이익 합계</t>
        </is>
      </c>
    </row>
    <row r="7">
      <c r="B7" s="112">
        <f>IF(상품판매가산출!$B6="","",상품판매가산출!$B6)</f>
        <v/>
      </c>
      <c r="C7" s="112">
        <f>IF(상품판매가산출!$B6="","",상품판매가산출!$C6)</f>
        <v/>
      </c>
      <c r="D7" s="113">
        <f>IF(상품판매가산출!$B6="","",상품판매가산출!$I6)</f>
        <v/>
      </c>
      <c r="E7" s="114">
        <f>IF(상품판매가산출!$B6="","",상품판매가산출!$H6)</f>
        <v/>
      </c>
      <c r="F7" s="113">
        <f>IF(상품판매가산출!$B6="","",상품판매가산출!$L6)</f>
        <v/>
      </c>
      <c r="G7" s="113">
        <f>IF(상품판매가산출!$B6="","",상품판매가산출!$O6)</f>
        <v/>
      </c>
      <c r="H7" s="115">
        <f>IF(상품판매가산출!$B6="","",상품판매가산출!$R6)</f>
        <v/>
      </c>
      <c r="I7" s="113">
        <f>IF(상품판매가산출!$B6="","",상품판매가산출!$U6)</f>
        <v/>
      </c>
      <c r="J7" s="113">
        <f>IF(상품판매가산출!$B6="","",상품판매가산출!$V6)</f>
        <v/>
      </c>
    </row>
    <row r="8">
      <c r="B8" s="112">
        <f>IF(상품판매가산출!$B7="","",상품판매가산출!$B7)</f>
        <v/>
      </c>
      <c r="C8" s="112">
        <f>IF(상품판매가산출!$B7="","",상품판매가산출!$C7)</f>
        <v/>
      </c>
      <c r="D8" s="113">
        <f>IF(상품판매가산출!$B7="","",상품판매가산출!$I7)</f>
        <v/>
      </c>
      <c r="E8" s="114">
        <f>IF(상품판매가산출!$B7="","",상품판매가산출!$H7)</f>
        <v/>
      </c>
      <c r="F8" s="113">
        <f>IF(상품판매가산출!$B7="","",상품판매가산출!$L7)</f>
        <v/>
      </c>
      <c r="G8" s="113">
        <f>IF(상품판매가산출!$B7="","",상품판매가산출!$O7)</f>
        <v/>
      </c>
      <c r="H8" s="115">
        <f>IF(상품판매가산출!$B7="","",상품판매가산출!$R7)</f>
        <v/>
      </c>
      <c r="I8" s="113">
        <f>IF(상품판매가산출!$B7="","",상품판매가산출!$U7)</f>
        <v/>
      </c>
      <c r="J8" s="113">
        <f>IF(상품판매가산출!$B7="","",상품판매가산출!$V7)</f>
        <v/>
      </c>
    </row>
    <row r="9">
      <c r="B9" s="112">
        <f>IF(상품판매가산출!$B8="","",상품판매가산출!$B8)</f>
        <v/>
      </c>
      <c r="C9" s="112">
        <f>IF(상품판매가산출!$B8="","",상품판매가산출!$C8)</f>
        <v/>
      </c>
      <c r="D9" s="113">
        <f>IF(상품판매가산출!$B8="","",상품판매가산출!$I8)</f>
        <v/>
      </c>
      <c r="E9" s="114">
        <f>IF(상품판매가산출!$B8="","",상품판매가산출!$H8)</f>
        <v/>
      </c>
      <c r="F9" s="113">
        <f>IF(상품판매가산출!$B8="","",상품판매가산출!$L8)</f>
        <v/>
      </c>
      <c r="G9" s="113">
        <f>IF(상품판매가산출!$B8="","",상품판매가산출!$O8)</f>
        <v/>
      </c>
      <c r="H9" s="115">
        <f>IF(상품판매가산출!$B8="","",상품판매가산출!$R8)</f>
        <v/>
      </c>
      <c r="I9" s="113">
        <f>IF(상품판매가산출!$B8="","",상품판매가산출!$U8)</f>
        <v/>
      </c>
      <c r="J9" s="113">
        <f>IF(상품판매가산출!$B8="","",상품판매가산출!$V8)</f>
        <v/>
      </c>
    </row>
    <row r="10">
      <c r="B10" s="112">
        <f>IF(상품판매가산출!$B9="","",상품판매가산출!$B9)</f>
        <v/>
      </c>
      <c r="C10" s="112">
        <f>IF(상품판매가산출!$B9="","",상품판매가산출!$C9)</f>
        <v/>
      </c>
      <c r="D10" s="113">
        <f>IF(상품판매가산출!$B9="","",상품판매가산출!$I9)</f>
        <v/>
      </c>
      <c r="E10" s="114">
        <f>IF(상품판매가산출!$B9="","",상품판매가산출!$H9)</f>
        <v/>
      </c>
      <c r="F10" s="113">
        <f>IF(상품판매가산출!$B9="","",상품판매가산출!$L9)</f>
        <v/>
      </c>
      <c r="G10" s="113">
        <f>IF(상품판매가산출!$B9="","",상품판매가산출!$O9)</f>
        <v/>
      </c>
      <c r="H10" s="115">
        <f>IF(상품판매가산출!$B9="","",상품판매가산출!$R9)</f>
        <v/>
      </c>
      <c r="I10" s="113">
        <f>IF(상품판매가산출!$B9="","",상품판매가산출!$U9)</f>
        <v/>
      </c>
      <c r="J10" s="113">
        <f>IF(상품판매가산출!$B9="","",상품판매가산출!$V9)</f>
        <v/>
      </c>
    </row>
    <row r="11">
      <c r="B11" s="112">
        <f>IF(상품판매가산출!$B10="","",상품판매가산출!$B10)</f>
        <v/>
      </c>
      <c r="C11" s="112">
        <f>IF(상품판매가산출!$B10="","",상품판매가산출!$C10)</f>
        <v/>
      </c>
      <c r="D11" s="113">
        <f>IF(상품판매가산출!$B10="","",상품판매가산출!$I10)</f>
        <v/>
      </c>
      <c r="E11" s="114">
        <f>IF(상품판매가산출!$B10="","",상품판매가산출!$H10)</f>
        <v/>
      </c>
      <c r="F11" s="113">
        <f>IF(상품판매가산출!$B10="","",상품판매가산출!$L10)</f>
        <v/>
      </c>
      <c r="G11" s="113">
        <f>IF(상품판매가산출!$B10="","",상품판매가산출!$O10)</f>
        <v/>
      </c>
      <c r="H11" s="115">
        <f>IF(상품판매가산출!$B10="","",상품판매가산출!$R10)</f>
        <v/>
      </c>
      <c r="I11" s="113">
        <f>IF(상품판매가산출!$B10="","",상품판매가산출!$U10)</f>
        <v/>
      </c>
      <c r="J11" s="113">
        <f>IF(상품판매가산출!$B10="","",상품판매가산출!$V10)</f>
        <v/>
      </c>
    </row>
    <row r="12">
      <c r="B12" s="112">
        <f>IF(상품판매가산출!$B11="","",상품판매가산출!$B11)</f>
        <v/>
      </c>
      <c r="C12" s="112">
        <f>IF(상품판매가산출!$B11="","",상품판매가산출!$C11)</f>
        <v/>
      </c>
      <c r="D12" s="113">
        <f>IF(상품판매가산출!$B11="","",상품판매가산출!$I11)</f>
        <v/>
      </c>
      <c r="E12" s="114">
        <f>IF(상품판매가산출!$B11="","",상품판매가산출!$H11)</f>
        <v/>
      </c>
      <c r="F12" s="113">
        <f>IF(상품판매가산출!$B11="","",상품판매가산출!$L11)</f>
        <v/>
      </c>
      <c r="G12" s="113">
        <f>IF(상품판매가산출!$B11="","",상품판매가산출!$O11)</f>
        <v/>
      </c>
      <c r="H12" s="115">
        <f>IF(상품판매가산출!$B11="","",상품판매가산출!$R11)</f>
        <v/>
      </c>
      <c r="I12" s="113">
        <f>IF(상품판매가산출!$B11="","",상품판매가산출!$U11)</f>
        <v/>
      </c>
      <c r="J12" s="113">
        <f>IF(상품판매가산출!$B11="","",상품판매가산출!$V11)</f>
        <v/>
      </c>
    </row>
    <row r="13">
      <c r="B13" s="112">
        <f>IF(상품판매가산출!$B12="","",상품판매가산출!$B12)</f>
        <v/>
      </c>
      <c r="C13" s="112">
        <f>IF(상품판매가산출!$B12="","",상품판매가산출!$C12)</f>
        <v/>
      </c>
      <c r="D13" s="113">
        <f>IF(상품판매가산출!$B12="","",상품판매가산출!$I12)</f>
        <v/>
      </c>
      <c r="E13" s="114">
        <f>IF(상품판매가산출!$B12="","",상품판매가산출!$H12)</f>
        <v/>
      </c>
      <c r="F13" s="113">
        <f>IF(상품판매가산출!$B12="","",상품판매가산출!$L12)</f>
        <v/>
      </c>
      <c r="G13" s="113">
        <f>IF(상품판매가산출!$B12="","",상품판매가산출!$O12)</f>
        <v/>
      </c>
      <c r="H13" s="115">
        <f>IF(상품판매가산출!$B12="","",상품판매가산출!$R12)</f>
        <v/>
      </c>
      <c r="I13" s="113">
        <f>IF(상품판매가산출!$B12="","",상품판매가산출!$U12)</f>
        <v/>
      </c>
      <c r="J13" s="113">
        <f>IF(상품판매가산출!$B12="","",상품판매가산출!$V12)</f>
        <v/>
      </c>
    </row>
    <row r="14">
      <c r="B14" s="112">
        <f>IF(상품판매가산출!$B13="","",상품판매가산출!$B13)</f>
        <v/>
      </c>
      <c r="C14" s="112">
        <f>IF(상품판매가산출!$B13="","",상품판매가산출!$C13)</f>
        <v/>
      </c>
      <c r="D14" s="113">
        <f>IF(상품판매가산출!$B13="","",상품판매가산출!$I13)</f>
        <v/>
      </c>
      <c r="E14" s="114">
        <f>IF(상품판매가산출!$B13="","",상품판매가산출!$H13)</f>
        <v/>
      </c>
      <c r="F14" s="113">
        <f>IF(상품판매가산출!$B13="","",상품판매가산출!$L13)</f>
        <v/>
      </c>
      <c r="G14" s="113">
        <f>IF(상품판매가산출!$B13="","",상품판매가산출!$O13)</f>
        <v/>
      </c>
      <c r="H14" s="115">
        <f>IF(상품판매가산출!$B13="","",상품판매가산출!$R13)</f>
        <v/>
      </c>
      <c r="I14" s="113">
        <f>IF(상품판매가산출!$B13="","",상품판매가산출!$U13)</f>
        <v/>
      </c>
      <c r="J14" s="113">
        <f>IF(상품판매가산출!$B13="","",상품판매가산출!$V13)</f>
        <v/>
      </c>
    </row>
    <row r="15">
      <c r="B15" s="112">
        <f>IF(상품판매가산출!$B14="","",상품판매가산출!$B14)</f>
        <v/>
      </c>
      <c r="C15" s="112">
        <f>IF(상품판매가산출!$B14="","",상품판매가산출!$C14)</f>
        <v/>
      </c>
      <c r="D15" s="113">
        <f>IF(상품판매가산출!$B14="","",상품판매가산출!$I14)</f>
        <v/>
      </c>
      <c r="E15" s="114">
        <f>IF(상품판매가산출!$B14="","",상품판매가산출!$H14)</f>
        <v/>
      </c>
      <c r="F15" s="113">
        <f>IF(상품판매가산출!$B14="","",상품판매가산출!$L14)</f>
        <v/>
      </c>
      <c r="G15" s="113">
        <f>IF(상품판매가산출!$B14="","",상품판매가산출!$O14)</f>
        <v/>
      </c>
      <c r="H15" s="115">
        <f>IF(상품판매가산출!$B14="","",상품판매가산출!$R14)</f>
        <v/>
      </c>
      <c r="I15" s="113">
        <f>IF(상품판매가산출!$B14="","",상품판매가산출!$U14)</f>
        <v/>
      </c>
      <c r="J15" s="113">
        <f>IF(상품판매가산출!$B14="","",상품판매가산출!$V14)</f>
        <v/>
      </c>
    </row>
    <row r="16">
      <c r="B16" s="112">
        <f>IF(상품판매가산출!$B15="","",상품판매가산출!$B15)</f>
        <v/>
      </c>
      <c r="C16" s="112">
        <f>IF(상품판매가산출!$B15="","",상품판매가산출!$C15)</f>
        <v/>
      </c>
      <c r="D16" s="113">
        <f>IF(상품판매가산출!$B15="","",상품판매가산출!$I15)</f>
        <v/>
      </c>
      <c r="E16" s="114">
        <f>IF(상품판매가산출!$B15="","",상품판매가산출!$H15)</f>
        <v/>
      </c>
      <c r="F16" s="113">
        <f>IF(상품판매가산출!$B15="","",상품판매가산출!$L15)</f>
        <v/>
      </c>
      <c r="G16" s="113">
        <f>IF(상품판매가산출!$B15="","",상품판매가산출!$O15)</f>
        <v/>
      </c>
      <c r="H16" s="115">
        <f>IF(상품판매가산출!$B15="","",상품판매가산출!$R15)</f>
        <v/>
      </c>
      <c r="I16" s="113">
        <f>IF(상품판매가산출!$B15="","",상품판매가산출!$U15)</f>
        <v/>
      </c>
      <c r="J16" s="113">
        <f>IF(상품판매가산출!$B15="","",상품판매가산출!$V15)</f>
        <v/>
      </c>
    </row>
    <row r="17">
      <c r="B17" s="112">
        <f>IF(상품판매가산출!$B16="","",상품판매가산출!$B16)</f>
        <v/>
      </c>
      <c r="C17" s="112">
        <f>IF(상품판매가산출!$B16="","",상품판매가산출!$C16)</f>
        <v/>
      </c>
      <c r="D17" s="113">
        <f>IF(상품판매가산출!$B16="","",상품판매가산출!$I16)</f>
        <v/>
      </c>
      <c r="E17" s="114">
        <f>IF(상품판매가산출!$B16="","",상품판매가산출!$H16)</f>
        <v/>
      </c>
      <c r="F17" s="113">
        <f>IF(상품판매가산출!$B16="","",상품판매가산출!$L16)</f>
        <v/>
      </c>
      <c r="G17" s="113">
        <f>IF(상품판매가산출!$B16="","",상품판매가산출!$O16)</f>
        <v/>
      </c>
      <c r="H17" s="115">
        <f>IF(상품판매가산출!$B16="","",상품판매가산출!$R16)</f>
        <v/>
      </c>
      <c r="I17" s="113">
        <f>IF(상품판매가산출!$B16="","",상품판매가산출!$U16)</f>
        <v/>
      </c>
      <c r="J17" s="113">
        <f>IF(상품판매가산출!$B16="","",상품판매가산출!$V16)</f>
        <v/>
      </c>
    </row>
    <row r="18">
      <c r="B18" s="112">
        <f>IF(상품판매가산출!$B17="","",상품판매가산출!$B17)</f>
        <v/>
      </c>
      <c r="C18" s="112">
        <f>IF(상품판매가산출!$B17="","",상품판매가산출!$C17)</f>
        <v/>
      </c>
      <c r="D18" s="113">
        <f>IF(상품판매가산출!$B17="","",상품판매가산출!$I17)</f>
        <v/>
      </c>
      <c r="E18" s="114">
        <f>IF(상품판매가산출!$B17="","",상품판매가산출!$H17)</f>
        <v/>
      </c>
      <c r="F18" s="113">
        <f>IF(상품판매가산출!$B17="","",상품판매가산출!$L17)</f>
        <v/>
      </c>
      <c r="G18" s="113">
        <f>IF(상품판매가산출!$B17="","",상품판매가산출!$O17)</f>
        <v/>
      </c>
      <c r="H18" s="115">
        <f>IF(상품판매가산출!$B17="","",상품판매가산출!$R17)</f>
        <v/>
      </c>
      <c r="I18" s="113">
        <f>IF(상품판매가산출!$B17="","",상품판매가산출!$U17)</f>
        <v/>
      </c>
      <c r="J18" s="113">
        <f>IF(상품판매가산출!$B17="","",상품판매가산출!$V17)</f>
        <v/>
      </c>
    </row>
    <row r="19">
      <c r="B19" s="112">
        <f>IF(상품판매가산출!$B18="","",상품판매가산출!$B18)</f>
        <v/>
      </c>
      <c r="C19" s="112">
        <f>IF(상품판매가산출!$B18="","",상품판매가산출!$C18)</f>
        <v/>
      </c>
      <c r="D19" s="113">
        <f>IF(상품판매가산출!$B18="","",상품판매가산출!$I18)</f>
        <v/>
      </c>
      <c r="E19" s="114">
        <f>IF(상품판매가산출!$B18="","",상품판매가산출!$H18)</f>
        <v/>
      </c>
      <c r="F19" s="113">
        <f>IF(상품판매가산출!$B18="","",상품판매가산출!$L18)</f>
        <v/>
      </c>
      <c r="G19" s="113">
        <f>IF(상품판매가산출!$B18="","",상품판매가산출!$O18)</f>
        <v/>
      </c>
      <c r="H19" s="115">
        <f>IF(상품판매가산출!$B18="","",상품판매가산출!$R18)</f>
        <v/>
      </c>
      <c r="I19" s="113">
        <f>IF(상품판매가산출!$B18="","",상품판매가산출!$U18)</f>
        <v/>
      </c>
      <c r="J19" s="113">
        <f>IF(상품판매가산출!$B18="","",상품판매가산출!$V18)</f>
        <v/>
      </c>
    </row>
    <row r="20">
      <c r="B20" s="112">
        <f>IF(상품판매가산출!$B19="","",상품판매가산출!$B19)</f>
        <v/>
      </c>
      <c r="C20" s="112">
        <f>IF(상품판매가산출!$B19="","",상품판매가산출!$C19)</f>
        <v/>
      </c>
      <c r="D20" s="113">
        <f>IF(상품판매가산출!$B19="","",상품판매가산출!$I19)</f>
        <v/>
      </c>
      <c r="E20" s="114">
        <f>IF(상품판매가산출!$B19="","",상품판매가산출!$H19)</f>
        <v/>
      </c>
      <c r="F20" s="113">
        <f>IF(상품판매가산출!$B19="","",상품판매가산출!$L19)</f>
        <v/>
      </c>
      <c r="G20" s="113">
        <f>IF(상품판매가산출!$B19="","",상품판매가산출!$O19)</f>
        <v/>
      </c>
      <c r="H20" s="115">
        <f>IF(상품판매가산출!$B19="","",상품판매가산출!$R19)</f>
        <v/>
      </c>
      <c r="I20" s="113">
        <f>IF(상품판매가산출!$B19="","",상품판매가산출!$U19)</f>
        <v/>
      </c>
      <c r="J20" s="113">
        <f>IF(상품판매가산출!$B19="","",상품판매가산출!$V19)</f>
        <v/>
      </c>
    </row>
    <row r="21">
      <c r="B21" s="112">
        <f>IF(상품판매가산출!$B20="","",상품판매가산출!$B20)</f>
        <v/>
      </c>
      <c r="C21" s="112">
        <f>IF(상품판매가산출!$B20="","",상품판매가산출!$C20)</f>
        <v/>
      </c>
      <c r="D21" s="113">
        <f>IF(상품판매가산출!$B20="","",상품판매가산출!$I20)</f>
        <v/>
      </c>
      <c r="E21" s="114">
        <f>IF(상품판매가산출!$B20="","",상품판매가산출!$H20)</f>
        <v/>
      </c>
      <c r="F21" s="113">
        <f>IF(상품판매가산출!$B20="","",상품판매가산출!$L20)</f>
        <v/>
      </c>
      <c r="G21" s="113">
        <f>IF(상품판매가산출!$B20="","",상품판매가산출!$O20)</f>
        <v/>
      </c>
      <c r="H21" s="115">
        <f>IF(상품판매가산출!$B20="","",상품판매가산출!$R20)</f>
        <v/>
      </c>
      <c r="I21" s="113">
        <f>IF(상품판매가산출!$B20="","",상품판매가산출!$U20)</f>
        <v/>
      </c>
      <c r="J21" s="113">
        <f>IF(상품판매가산출!$B20="","",상품판매가산출!$V20)</f>
        <v/>
      </c>
    </row>
    <row r="22">
      <c r="B22" s="112">
        <f>IF(상품판매가산출!$B21="","",상품판매가산출!$B21)</f>
        <v/>
      </c>
      <c r="C22" s="112">
        <f>IF(상품판매가산출!$B21="","",상품판매가산출!$C21)</f>
        <v/>
      </c>
      <c r="D22" s="113">
        <f>IF(상품판매가산출!$B21="","",상품판매가산출!$I21)</f>
        <v/>
      </c>
      <c r="E22" s="114">
        <f>IF(상품판매가산출!$B21="","",상품판매가산출!$H21)</f>
        <v/>
      </c>
      <c r="F22" s="113">
        <f>IF(상품판매가산출!$B21="","",상품판매가산출!$L21)</f>
        <v/>
      </c>
      <c r="G22" s="113">
        <f>IF(상품판매가산출!$B21="","",상품판매가산출!$O21)</f>
        <v/>
      </c>
      <c r="H22" s="115">
        <f>IF(상품판매가산출!$B21="","",상품판매가산출!$R21)</f>
        <v/>
      </c>
      <c r="I22" s="113">
        <f>IF(상품판매가산출!$B21="","",상품판매가산출!$U21)</f>
        <v/>
      </c>
      <c r="J22" s="113">
        <f>IF(상품판매가산출!$B21="","",상품판매가산출!$V21)</f>
        <v/>
      </c>
    </row>
    <row r="23">
      <c r="B23" s="112">
        <f>IF(상품판매가산출!$B22="","",상품판매가산출!$B22)</f>
        <v/>
      </c>
      <c r="C23" s="112">
        <f>IF(상품판매가산출!$B22="","",상품판매가산출!$C22)</f>
        <v/>
      </c>
      <c r="D23" s="113">
        <f>IF(상품판매가산출!$B22="","",상품판매가산출!$I22)</f>
        <v/>
      </c>
      <c r="E23" s="114">
        <f>IF(상품판매가산출!$B22="","",상품판매가산출!$H22)</f>
        <v/>
      </c>
      <c r="F23" s="113">
        <f>IF(상품판매가산출!$B22="","",상품판매가산출!$L22)</f>
        <v/>
      </c>
      <c r="G23" s="113">
        <f>IF(상품판매가산출!$B22="","",상품판매가산출!$O22)</f>
        <v/>
      </c>
      <c r="H23" s="115">
        <f>IF(상품판매가산출!$B22="","",상품판매가산출!$R22)</f>
        <v/>
      </c>
      <c r="I23" s="113">
        <f>IF(상품판매가산출!$B22="","",상품판매가산출!$U22)</f>
        <v/>
      </c>
      <c r="J23" s="113">
        <f>IF(상품판매가산출!$B22="","",상품판매가산출!$V22)</f>
        <v/>
      </c>
    </row>
    <row r="24">
      <c r="B24" s="112">
        <f>IF(상품판매가산출!$B23="","",상품판매가산출!$B23)</f>
        <v/>
      </c>
      <c r="C24" s="112">
        <f>IF(상품판매가산출!$B23="","",상품판매가산출!$C23)</f>
        <v/>
      </c>
      <c r="D24" s="113">
        <f>IF(상품판매가산출!$B23="","",상품판매가산출!$I23)</f>
        <v/>
      </c>
      <c r="E24" s="114">
        <f>IF(상품판매가산출!$B23="","",상품판매가산출!$H23)</f>
        <v/>
      </c>
      <c r="F24" s="113">
        <f>IF(상품판매가산출!$B23="","",상품판매가산출!$L23)</f>
        <v/>
      </c>
      <c r="G24" s="113">
        <f>IF(상품판매가산출!$B23="","",상품판매가산출!$O23)</f>
        <v/>
      </c>
      <c r="H24" s="115">
        <f>IF(상품판매가산출!$B23="","",상품판매가산출!$R23)</f>
        <v/>
      </c>
      <c r="I24" s="113">
        <f>IF(상품판매가산출!$B23="","",상품판매가산출!$U23)</f>
        <v/>
      </c>
      <c r="J24" s="113">
        <f>IF(상품판매가산출!$B23="","",상품판매가산출!$V23)</f>
        <v/>
      </c>
    </row>
    <row r="25">
      <c r="B25" s="112">
        <f>IF(상품판매가산출!$B24="","",상품판매가산출!$B24)</f>
        <v/>
      </c>
      <c r="C25" s="112">
        <f>IF(상품판매가산출!$B24="","",상품판매가산출!$C24)</f>
        <v/>
      </c>
      <c r="D25" s="113">
        <f>IF(상품판매가산출!$B24="","",상품판매가산출!$I24)</f>
        <v/>
      </c>
      <c r="E25" s="114">
        <f>IF(상품판매가산출!$B24="","",상품판매가산출!$H24)</f>
        <v/>
      </c>
      <c r="F25" s="113">
        <f>IF(상품판매가산출!$B24="","",상품판매가산출!$L24)</f>
        <v/>
      </c>
      <c r="G25" s="113">
        <f>IF(상품판매가산출!$B24="","",상품판매가산출!$O24)</f>
        <v/>
      </c>
      <c r="H25" s="115">
        <f>IF(상품판매가산출!$B24="","",상품판매가산출!$R24)</f>
        <v/>
      </c>
      <c r="I25" s="113">
        <f>IF(상품판매가산출!$B24="","",상품판매가산출!$U24)</f>
        <v/>
      </c>
      <c r="J25" s="113">
        <f>IF(상품판매가산출!$B24="","",상품판매가산출!$V24)</f>
        <v/>
      </c>
    </row>
    <row r="26">
      <c r="B26" s="112">
        <f>IF(상품판매가산출!$B25="","",상품판매가산출!$B25)</f>
        <v/>
      </c>
      <c r="C26" s="112">
        <f>IF(상품판매가산출!$B25="","",상품판매가산출!$C25)</f>
        <v/>
      </c>
      <c r="D26" s="113">
        <f>IF(상품판매가산출!$B25="","",상품판매가산출!$I25)</f>
        <v/>
      </c>
      <c r="E26" s="114">
        <f>IF(상품판매가산출!$B25="","",상품판매가산출!$H25)</f>
        <v/>
      </c>
      <c r="F26" s="113">
        <f>IF(상품판매가산출!$B25="","",상품판매가산출!$L25)</f>
        <v/>
      </c>
      <c r="G26" s="113">
        <f>IF(상품판매가산출!$B25="","",상품판매가산출!$O25)</f>
        <v/>
      </c>
      <c r="H26" s="115">
        <f>IF(상품판매가산출!$B25="","",상품판매가산출!$R25)</f>
        <v/>
      </c>
      <c r="I26" s="113">
        <f>IF(상품판매가산출!$B25="","",상품판매가산출!$U25)</f>
        <v/>
      </c>
      <c r="J26" s="113">
        <f>IF(상품판매가산출!$B25="","",상품판매가산출!$V25)</f>
        <v/>
      </c>
    </row>
    <row r="27">
      <c r="B27" s="112">
        <f>IF(상품판매가산출!$B26="","",상품판매가산출!$B26)</f>
        <v/>
      </c>
      <c r="C27" s="112">
        <f>IF(상품판매가산출!$B26="","",상품판매가산출!$C26)</f>
        <v/>
      </c>
      <c r="D27" s="113">
        <f>IF(상품판매가산출!$B26="","",상품판매가산출!$I26)</f>
        <v/>
      </c>
      <c r="E27" s="114">
        <f>IF(상품판매가산출!$B26="","",상품판매가산출!$H26)</f>
        <v/>
      </c>
      <c r="F27" s="113">
        <f>IF(상품판매가산출!$B26="","",상품판매가산출!$L26)</f>
        <v/>
      </c>
      <c r="G27" s="113">
        <f>IF(상품판매가산출!$B26="","",상품판매가산출!$O26)</f>
        <v/>
      </c>
      <c r="H27" s="115">
        <f>IF(상품판매가산출!$B26="","",상품판매가산출!$R26)</f>
        <v/>
      </c>
      <c r="I27" s="113">
        <f>IF(상품판매가산출!$B26="","",상품판매가산출!$U26)</f>
        <v/>
      </c>
      <c r="J27" s="113">
        <f>IF(상품판매가산출!$B26="","",상품판매가산출!$V26)</f>
        <v/>
      </c>
    </row>
    <row r="28">
      <c r="B28" s="112">
        <f>IF(상품판매가산출!$B27="","",상품판매가산출!$B27)</f>
        <v/>
      </c>
      <c r="C28" s="112">
        <f>IF(상품판매가산출!$B27="","",상품판매가산출!$C27)</f>
        <v/>
      </c>
      <c r="D28" s="113">
        <f>IF(상품판매가산출!$B27="","",상품판매가산출!$I27)</f>
        <v/>
      </c>
      <c r="E28" s="114">
        <f>IF(상품판매가산출!$B27="","",상품판매가산출!$H27)</f>
        <v/>
      </c>
      <c r="F28" s="113">
        <f>IF(상품판매가산출!$B27="","",상품판매가산출!$L27)</f>
        <v/>
      </c>
      <c r="G28" s="113">
        <f>IF(상품판매가산출!$B27="","",상품판매가산출!$O27)</f>
        <v/>
      </c>
      <c r="H28" s="115">
        <f>IF(상품판매가산출!$B27="","",상품판매가산출!$R27)</f>
        <v/>
      </c>
      <c r="I28" s="113">
        <f>IF(상품판매가산출!$B27="","",상품판매가산출!$U27)</f>
        <v/>
      </c>
      <c r="J28" s="113">
        <f>IF(상품판매가산출!$B27="","",상품판매가산출!$V27)</f>
        <v/>
      </c>
    </row>
    <row r="29">
      <c r="B29" s="112">
        <f>IF(상품판매가산출!$B28="","",상품판매가산출!$B28)</f>
        <v/>
      </c>
      <c r="C29" s="112">
        <f>IF(상품판매가산출!$B28="","",상품판매가산출!$C28)</f>
        <v/>
      </c>
      <c r="D29" s="113">
        <f>IF(상품판매가산출!$B28="","",상품판매가산출!$I28)</f>
        <v/>
      </c>
      <c r="E29" s="114">
        <f>IF(상품판매가산출!$B28="","",상품판매가산출!$H28)</f>
        <v/>
      </c>
      <c r="F29" s="113">
        <f>IF(상품판매가산출!$B28="","",상품판매가산출!$L28)</f>
        <v/>
      </c>
      <c r="G29" s="113">
        <f>IF(상품판매가산출!$B28="","",상품판매가산출!$O28)</f>
        <v/>
      </c>
      <c r="H29" s="115">
        <f>IF(상품판매가산출!$B28="","",상품판매가산출!$R28)</f>
        <v/>
      </c>
      <c r="I29" s="113">
        <f>IF(상품판매가산출!$B28="","",상품판매가산출!$U28)</f>
        <v/>
      </c>
      <c r="J29" s="113">
        <f>IF(상품판매가산출!$B28="","",상품판매가산출!$V28)</f>
        <v/>
      </c>
    </row>
    <row r="30">
      <c r="B30" s="112">
        <f>IF(상품판매가산출!$B29="","",상품판매가산출!$B29)</f>
        <v/>
      </c>
      <c r="C30" s="112">
        <f>IF(상품판매가산출!$B29="","",상품판매가산출!$C29)</f>
        <v/>
      </c>
      <c r="D30" s="113">
        <f>IF(상품판매가산출!$B29="","",상품판매가산출!$I29)</f>
        <v/>
      </c>
      <c r="E30" s="114">
        <f>IF(상품판매가산출!$B29="","",상품판매가산출!$H29)</f>
        <v/>
      </c>
      <c r="F30" s="113">
        <f>IF(상품판매가산출!$B29="","",상품판매가산출!$L29)</f>
        <v/>
      </c>
      <c r="G30" s="113">
        <f>IF(상품판매가산출!$B29="","",상품판매가산출!$O29)</f>
        <v/>
      </c>
      <c r="H30" s="115">
        <f>IF(상품판매가산출!$B29="","",상품판매가산출!$R29)</f>
        <v/>
      </c>
      <c r="I30" s="113">
        <f>IF(상품판매가산출!$B29="","",상품판매가산출!$U29)</f>
        <v/>
      </c>
      <c r="J30" s="113">
        <f>IF(상품판매가산출!$B29="","",상품판매가산출!$V29)</f>
        <v/>
      </c>
    </row>
    <row r="31">
      <c r="B31" s="112">
        <f>IF(상품판매가산출!$B30="","",상품판매가산출!$B30)</f>
        <v/>
      </c>
      <c r="C31" s="112">
        <f>IF(상품판매가산출!$B30="","",상품판매가산출!$C30)</f>
        <v/>
      </c>
      <c r="D31" s="113">
        <f>IF(상품판매가산출!$B30="","",상품판매가산출!$I30)</f>
        <v/>
      </c>
      <c r="E31" s="114">
        <f>IF(상품판매가산출!$B30="","",상품판매가산출!$H30)</f>
        <v/>
      </c>
      <c r="F31" s="113">
        <f>IF(상품판매가산출!$B30="","",상품판매가산출!$L30)</f>
        <v/>
      </c>
      <c r="G31" s="113">
        <f>IF(상품판매가산출!$B30="","",상품판매가산출!$O30)</f>
        <v/>
      </c>
      <c r="H31" s="115">
        <f>IF(상품판매가산출!$B30="","",상품판매가산출!$R30)</f>
        <v/>
      </c>
      <c r="I31" s="113">
        <f>IF(상품판매가산출!$B30="","",상품판매가산출!$U30)</f>
        <v/>
      </c>
      <c r="J31" s="113">
        <f>IF(상품판매가산출!$B30="","",상품판매가산출!$V30)</f>
        <v/>
      </c>
    </row>
    <row r="32">
      <c r="B32" s="112">
        <f>IF(상품판매가산출!$B31="","",상품판매가산출!$B31)</f>
        <v/>
      </c>
      <c r="C32" s="112">
        <f>IF(상품판매가산출!$B31="","",상품판매가산출!$C31)</f>
        <v/>
      </c>
      <c r="D32" s="113">
        <f>IF(상품판매가산출!$B31="","",상품판매가산출!$I31)</f>
        <v/>
      </c>
      <c r="E32" s="114">
        <f>IF(상품판매가산출!$B31="","",상품판매가산출!$H31)</f>
        <v/>
      </c>
      <c r="F32" s="113">
        <f>IF(상품판매가산출!$B31="","",상품판매가산출!$L31)</f>
        <v/>
      </c>
      <c r="G32" s="113">
        <f>IF(상품판매가산출!$B31="","",상품판매가산출!$O31)</f>
        <v/>
      </c>
      <c r="H32" s="115">
        <f>IF(상품판매가산출!$B31="","",상품판매가산출!$R31)</f>
        <v/>
      </c>
      <c r="I32" s="113">
        <f>IF(상품판매가산출!$B31="","",상품판매가산출!$U31)</f>
        <v/>
      </c>
      <c r="J32" s="113">
        <f>IF(상품판매가산출!$B31="","",상품판매가산출!$V31)</f>
        <v/>
      </c>
    </row>
    <row r="33">
      <c r="B33" s="112">
        <f>IF(상품판매가산출!$B32="","",상품판매가산출!$B32)</f>
        <v/>
      </c>
      <c r="C33" s="112">
        <f>IF(상품판매가산출!$B32="","",상품판매가산출!$C32)</f>
        <v/>
      </c>
      <c r="D33" s="113">
        <f>IF(상품판매가산출!$B32="","",상품판매가산출!$I32)</f>
        <v/>
      </c>
      <c r="E33" s="114">
        <f>IF(상품판매가산출!$B32="","",상품판매가산출!$H32)</f>
        <v/>
      </c>
      <c r="F33" s="113">
        <f>IF(상품판매가산출!$B32="","",상품판매가산출!$L32)</f>
        <v/>
      </c>
      <c r="G33" s="113">
        <f>IF(상품판매가산출!$B32="","",상품판매가산출!$O32)</f>
        <v/>
      </c>
      <c r="H33" s="115">
        <f>IF(상품판매가산출!$B32="","",상품판매가산출!$R32)</f>
        <v/>
      </c>
      <c r="I33" s="113">
        <f>IF(상품판매가산출!$B32="","",상품판매가산출!$U32)</f>
        <v/>
      </c>
      <c r="J33" s="113">
        <f>IF(상품판매가산출!$B32="","",상품판매가산출!$V32)</f>
        <v/>
      </c>
    </row>
    <row r="34">
      <c r="B34" s="112">
        <f>IF(상품판매가산출!$B33="","",상품판매가산출!$B33)</f>
        <v/>
      </c>
      <c r="C34" s="112">
        <f>IF(상품판매가산출!$B33="","",상품판매가산출!$C33)</f>
        <v/>
      </c>
      <c r="D34" s="113">
        <f>IF(상품판매가산출!$B33="","",상품판매가산출!$I33)</f>
        <v/>
      </c>
      <c r="E34" s="114">
        <f>IF(상품판매가산출!$B33="","",상품판매가산출!$H33)</f>
        <v/>
      </c>
      <c r="F34" s="113">
        <f>IF(상품판매가산출!$B33="","",상품판매가산출!$L33)</f>
        <v/>
      </c>
      <c r="G34" s="113">
        <f>IF(상품판매가산출!$B33="","",상품판매가산출!$O33)</f>
        <v/>
      </c>
      <c r="H34" s="115">
        <f>IF(상품판매가산출!$B33="","",상품판매가산출!$R33)</f>
        <v/>
      </c>
      <c r="I34" s="113">
        <f>IF(상품판매가산출!$B33="","",상품판매가산출!$U33)</f>
        <v/>
      </c>
      <c r="J34" s="113">
        <f>IF(상품판매가산출!$B33="","",상품판매가산출!$V33)</f>
        <v/>
      </c>
    </row>
    <row r="35">
      <c r="B35" s="112">
        <f>IF(상품판매가산출!$B34="","",상품판매가산출!$B34)</f>
        <v/>
      </c>
      <c r="C35" s="112">
        <f>IF(상품판매가산출!$B34="","",상품판매가산출!$C34)</f>
        <v/>
      </c>
      <c r="D35" s="113">
        <f>IF(상품판매가산출!$B34="","",상품판매가산출!$I34)</f>
        <v/>
      </c>
      <c r="E35" s="114">
        <f>IF(상품판매가산출!$B34="","",상품판매가산출!$H34)</f>
        <v/>
      </c>
      <c r="F35" s="113">
        <f>IF(상품판매가산출!$B34="","",상품판매가산출!$L34)</f>
        <v/>
      </c>
      <c r="G35" s="113">
        <f>IF(상품판매가산출!$B34="","",상품판매가산출!$O34)</f>
        <v/>
      </c>
      <c r="H35" s="115">
        <f>IF(상품판매가산출!$B34="","",상품판매가산출!$R34)</f>
        <v/>
      </c>
      <c r="I35" s="113">
        <f>IF(상품판매가산출!$B34="","",상품판매가산출!$U34)</f>
        <v/>
      </c>
      <c r="J35" s="113">
        <f>IF(상품판매가산출!$B34="","",상품판매가산출!$V34)</f>
        <v/>
      </c>
    </row>
    <row r="36">
      <c r="B36" s="112">
        <f>IF(상품판매가산출!$B35="","",상품판매가산출!$B35)</f>
        <v/>
      </c>
      <c r="C36" s="112">
        <f>IF(상품판매가산출!$B35="","",상품판매가산출!$C35)</f>
        <v/>
      </c>
      <c r="D36" s="113">
        <f>IF(상품판매가산출!$B35="","",상품판매가산출!$I35)</f>
        <v/>
      </c>
      <c r="E36" s="114">
        <f>IF(상품판매가산출!$B35="","",상품판매가산출!$H35)</f>
        <v/>
      </c>
      <c r="F36" s="113">
        <f>IF(상품판매가산출!$B35="","",상품판매가산출!$L35)</f>
        <v/>
      </c>
      <c r="G36" s="113">
        <f>IF(상품판매가산출!$B35="","",상품판매가산출!$O35)</f>
        <v/>
      </c>
      <c r="H36" s="115">
        <f>IF(상품판매가산출!$B35="","",상품판매가산출!$R35)</f>
        <v/>
      </c>
      <c r="I36" s="113">
        <f>IF(상품판매가산출!$B35="","",상품판매가산출!$U35)</f>
        <v/>
      </c>
      <c r="J36" s="113">
        <f>IF(상품판매가산출!$B35="","",상품판매가산출!$V35)</f>
        <v/>
      </c>
    </row>
    <row r="37">
      <c r="B37" s="112">
        <f>IF(상품판매가산출!$B36="","",상품판매가산출!$B36)</f>
        <v/>
      </c>
      <c r="C37" s="112">
        <f>IF(상품판매가산출!$B36="","",상품판매가산출!$C36)</f>
        <v/>
      </c>
      <c r="D37" s="113">
        <f>IF(상품판매가산출!$B36="","",상품판매가산출!$I36)</f>
        <v/>
      </c>
      <c r="E37" s="114">
        <f>IF(상품판매가산출!$B36="","",상품판매가산출!$H36)</f>
        <v/>
      </c>
      <c r="F37" s="113">
        <f>IF(상품판매가산출!$B36="","",상품판매가산출!$L36)</f>
        <v/>
      </c>
      <c r="G37" s="113">
        <f>IF(상품판매가산출!$B36="","",상품판매가산출!$O36)</f>
        <v/>
      </c>
      <c r="H37" s="115">
        <f>IF(상품판매가산출!$B36="","",상품판매가산출!$R36)</f>
        <v/>
      </c>
      <c r="I37" s="113">
        <f>IF(상품판매가산출!$B36="","",상품판매가산출!$U36)</f>
        <v/>
      </c>
      <c r="J37" s="113">
        <f>IF(상품판매가산출!$B36="","",상품판매가산출!$V36)</f>
        <v/>
      </c>
    </row>
    <row r="38">
      <c r="B38" s="112">
        <f>IF(상품판매가산출!$B37="","",상품판매가산출!$B37)</f>
        <v/>
      </c>
      <c r="C38" s="112">
        <f>IF(상품판매가산출!$B37="","",상품판매가산출!$C37)</f>
        <v/>
      </c>
      <c r="D38" s="113">
        <f>IF(상품판매가산출!$B37="","",상품판매가산출!$I37)</f>
        <v/>
      </c>
      <c r="E38" s="114">
        <f>IF(상품판매가산출!$B37="","",상품판매가산출!$H37)</f>
        <v/>
      </c>
      <c r="F38" s="113">
        <f>IF(상품판매가산출!$B37="","",상품판매가산출!$L37)</f>
        <v/>
      </c>
      <c r="G38" s="113">
        <f>IF(상품판매가산출!$B37="","",상품판매가산출!$O37)</f>
        <v/>
      </c>
      <c r="H38" s="115">
        <f>IF(상품판매가산출!$B37="","",상품판매가산출!$R37)</f>
        <v/>
      </c>
      <c r="I38" s="113">
        <f>IF(상품판매가산출!$B37="","",상품판매가산출!$U37)</f>
        <v/>
      </c>
      <c r="J38" s="113">
        <f>IF(상품판매가산출!$B37="","",상품판매가산출!$V37)</f>
        <v/>
      </c>
    </row>
    <row r="39">
      <c r="B39" s="112">
        <f>IF(상품판매가산출!$B38="","",상품판매가산출!$B38)</f>
        <v/>
      </c>
      <c r="C39" s="112">
        <f>IF(상품판매가산출!$B38="","",상품판매가산출!$C38)</f>
        <v/>
      </c>
      <c r="D39" s="113">
        <f>IF(상품판매가산출!$B38="","",상품판매가산출!$I38)</f>
        <v/>
      </c>
      <c r="E39" s="114">
        <f>IF(상품판매가산출!$B38="","",상품판매가산출!$H38)</f>
        <v/>
      </c>
      <c r="F39" s="113">
        <f>IF(상품판매가산출!$B38="","",상품판매가산출!$L38)</f>
        <v/>
      </c>
      <c r="G39" s="113">
        <f>IF(상품판매가산출!$B38="","",상품판매가산출!$O38)</f>
        <v/>
      </c>
      <c r="H39" s="115">
        <f>IF(상품판매가산출!$B38="","",상품판매가산출!$R38)</f>
        <v/>
      </c>
      <c r="I39" s="113">
        <f>IF(상품판매가산출!$B38="","",상품판매가산출!$U38)</f>
        <v/>
      </c>
      <c r="J39" s="113">
        <f>IF(상품판매가산출!$B38="","",상품판매가산출!$V38)</f>
        <v/>
      </c>
    </row>
    <row r="40">
      <c r="B40" s="112">
        <f>IF(상품판매가산출!$B39="","",상품판매가산출!$B39)</f>
        <v/>
      </c>
      <c r="C40" s="112">
        <f>IF(상품판매가산출!$B39="","",상품판매가산출!$C39)</f>
        <v/>
      </c>
      <c r="D40" s="113">
        <f>IF(상품판매가산출!$B39="","",상품판매가산출!$I39)</f>
        <v/>
      </c>
      <c r="E40" s="114">
        <f>IF(상품판매가산출!$B39="","",상품판매가산출!$H39)</f>
        <v/>
      </c>
      <c r="F40" s="113">
        <f>IF(상품판매가산출!$B39="","",상품판매가산출!$L39)</f>
        <v/>
      </c>
      <c r="G40" s="113">
        <f>IF(상품판매가산출!$B39="","",상품판매가산출!$O39)</f>
        <v/>
      </c>
      <c r="H40" s="115">
        <f>IF(상품판매가산출!$B39="","",상품판매가산출!$R39)</f>
        <v/>
      </c>
      <c r="I40" s="113">
        <f>IF(상품판매가산출!$B39="","",상품판매가산출!$U39)</f>
        <v/>
      </c>
      <c r="J40" s="113">
        <f>IF(상품판매가산출!$B39="","",상품판매가산출!$V39)</f>
        <v/>
      </c>
    </row>
    <row r="41">
      <c r="B41" s="112">
        <f>IF(상품판매가산출!$B40="","",상품판매가산출!$B40)</f>
        <v/>
      </c>
      <c r="C41" s="112">
        <f>IF(상품판매가산출!$B40="","",상품판매가산출!$C40)</f>
        <v/>
      </c>
      <c r="D41" s="113">
        <f>IF(상품판매가산출!$B40="","",상품판매가산출!$I40)</f>
        <v/>
      </c>
      <c r="E41" s="114">
        <f>IF(상품판매가산출!$B40="","",상품판매가산출!$H40)</f>
        <v/>
      </c>
      <c r="F41" s="113">
        <f>IF(상품판매가산출!$B40="","",상품판매가산출!$L40)</f>
        <v/>
      </c>
      <c r="G41" s="113">
        <f>IF(상품판매가산출!$B40="","",상품판매가산출!$O40)</f>
        <v/>
      </c>
      <c r="H41" s="115">
        <f>IF(상품판매가산출!$B40="","",상품판매가산출!$R40)</f>
        <v/>
      </c>
      <c r="I41" s="113">
        <f>IF(상품판매가산출!$B40="","",상품판매가산출!$U40)</f>
        <v/>
      </c>
      <c r="J41" s="113">
        <f>IF(상품판매가산출!$B40="","",상품판매가산출!$V40)</f>
        <v/>
      </c>
    </row>
    <row r="42">
      <c r="B42" s="112">
        <f>IF(상품판매가산출!$B41="","",상품판매가산출!$B41)</f>
        <v/>
      </c>
      <c r="C42" s="112">
        <f>IF(상품판매가산출!$B41="","",상품판매가산출!$C41)</f>
        <v/>
      </c>
      <c r="D42" s="113">
        <f>IF(상품판매가산출!$B41="","",상품판매가산출!$I41)</f>
        <v/>
      </c>
      <c r="E42" s="114">
        <f>IF(상품판매가산출!$B41="","",상품판매가산출!$H41)</f>
        <v/>
      </c>
      <c r="F42" s="113">
        <f>IF(상품판매가산출!$B41="","",상품판매가산출!$L41)</f>
        <v/>
      </c>
      <c r="G42" s="113">
        <f>IF(상품판매가산출!$B41="","",상품판매가산출!$O41)</f>
        <v/>
      </c>
      <c r="H42" s="115">
        <f>IF(상품판매가산출!$B41="","",상품판매가산출!$R41)</f>
        <v/>
      </c>
      <c r="I42" s="113">
        <f>IF(상품판매가산출!$B41="","",상품판매가산출!$U41)</f>
        <v/>
      </c>
      <c r="J42" s="113">
        <f>IF(상품판매가산출!$B41="","",상품판매가산출!$V41)</f>
        <v/>
      </c>
    </row>
    <row r="43">
      <c r="B43" s="112">
        <f>IF(상품판매가산출!$B42="","",상품판매가산출!$B42)</f>
        <v/>
      </c>
      <c r="C43" s="112">
        <f>IF(상품판매가산출!$B42="","",상품판매가산출!$C42)</f>
        <v/>
      </c>
      <c r="D43" s="113">
        <f>IF(상품판매가산출!$B42="","",상품판매가산출!$I42)</f>
        <v/>
      </c>
      <c r="E43" s="114">
        <f>IF(상품판매가산출!$B42="","",상품판매가산출!$H42)</f>
        <v/>
      </c>
      <c r="F43" s="113">
        <f>IF(상품판매가산출!$B42="","",상품판매가산출!$L42)</f>
        <v/>
      </c>
      <c r="G43" s="113">
        <f>IF(상품판매가산출!$B42="","",상품판매가산출!$O42)</f>
        <v/>
      </c>
      <c r="H43" s="115">
        <f>IF(상품판매가산출!$B42="","",상품판매가산출!$R42)</f>
        <v/>
      </c>
      <c r="I43" s="113">
        <f>IF(상품판매가산출!$B42="","",상품판매가산출!$U42)</f>
        <v/>
      </c>
      <c r="J43" s="113">
        <f>IF(상품판매가산출!$B42="","",상품판매가산출!$V42)</f>
        <v/>
      </c>
    </row>
    <row r="44">
      <c r="B44" s="112">
        <f>IF(상품판매가산출!$B43="","",상품판매가산출!$B43)</f>
        <v/>
      </c>
      <c r="C44" s="112">
        <f>IF(상품판매가산출!$B43="","",상품판매가산출!$C43)</f>
        <v/>
      </c>
      <c r="D44" s="113">
        <f>IF(상품판매가산출!$B43="","",상품판매가산출!$I43)</f>
        <v/>
      </c>
      <c r="E44" s="114">
        <f>IF(상품판매가산출!$B43="","",상품판매가산출!$H43)</f>
        <v/>
      </c>
      <c r="F44" s="113">
        <f>IF(상품판매가산출!$B43="","",상품판매가산출!$L43)</f>
        <v/>
      </c>
      <c r="G44" s="113">
        <f>IF(상품판매가산출!$B43="","",상품판매가산출!$O43)</f>
        <v/>
      </c>
      <c r="H44" s="115">
        <f>IF(상품판매가산출!$B43="","",상품판매가산출!$R43)</f>
        <v/>
      </c>
      <c r="I44" s="113">
        <f>IF(상품판매가산출!$B43="","",상품판매가산출!$U43)</f>
        <v/>
      </c>
      <c r="J44" s="113">
        <f>IF(상품판매가산출!$B43="","",상품판매가산출!$V43)</f>
        <v/>
      </c>
    </row>
    <row r="45">
      <c r="B45" s="112">
        <f>IF(상품판매가산출!$B44="","",상품판매가산출!$B44)</f>
        <v/>
      </c>
      <c r="C45" s="112">
        <f>IF(상품판매가산출!$B44="","",상품판매가산출!$C44)</f>
        <v/>
      </c>
      <c r="D45" s="113">
        <f>IF(상품판매가산출!$B44="","",상품판매가산출!$I44)</f>
        <v/>
      </c>
      <c r="E45" s="114">
        <f>IF(상품판매가산출!$B44="","",상품판매가산출!$H44)</f>
        <v/>
      </c>
      <c r="F45" s="113">
        <f>IF(상품판매가산출!$B44="","",상품판매가산출!$L44)</f>
        <v/>
      </c>
      <c r="G45" s="113">
        <f>IF(상품판매가산출!$B44="","",상품판매가산출!$O44)</f>
        <v/>
      </c>
      <c r="H45" s="115">
        <f>IF(상품판매가산출!$B44="","",상품판매가산출!$R44)</f>
        <v/>
      </c>
      <c r="I45" s="113">
        <f>IF(상품판매가산출!$B44="","",상품판매가산출!$U44)</f>
        <v/>
      </c>
      <c r="J45" s="113">
        <f>IF(상품판매가산출!$B44="","",상품판매가산출!$V44)</f>
        <v/>
      </c>
    </row>
    <row r="46">
      <c r="B46" s="112">
        <f>IF(상품판매가산출!$B45="","",상품판매가산출!$B45)</f>
        <v/>
      </c>
      <c r="C46" s="112">
        <f>IF(상품판매가산출!$B45="","",상품판매가산출!$C45)</f>
        <v/>
      </c>
      <c r="D46" s="113">
        <f>IF(상품판매가산출!$B45="","",상품판매가산출!$I45)</f>
        <v/>
      </c>
      <c r="E46" s="114">
        <f>IF(상품판매가산출!$B45="","",상품판매가산출!$H45)</f>
        <v/>
      </c>
      <c r="F46" s="113">
        <f>IF(상품판매가산출!$B45="","",상품판매가산출!$L45)</f>
        <v/>
      </c>
      <c r="G46" s="113">
        <f>IF(상품판매가산출!$B45="","",상품판매가산출!$O45)</f>
        <v/>
      </c>
      <c r="H46" s="115">
        <f>IF(상품판매가산출!$B45="","",상품판매가산출!$R45)</f>
        <v/>
      </c>
      <c r="I46" s="113">
        <f>IF(상품판매가산출!$B45="","",상품판매가산출!$U45)</f>
        <v/>
      </c>
      <c r="J46" s="113">
        <f>IF(상품판매가산출!$B45="","",상품판매가산출!$V45)</f>
        <v/>
      </c>
    </row>
    <row r="47">
      <c r="B47" s="116" t="inlineStr">
        <is>
          <t>합계</t>
        </is>
      </c>
      <c r="C47" s="117" t="n"/>
      <c r="D47" s="117" t="n"/>
      <c r="E47" s="118">
        <f>SUM(E7:E46)</f>
        <v/>
      </c>
      <c r="F47" s="117" t="n"/>
      <c r="G47" s="117" t="n"/>
      <c r="H47" s="119">
        <f>IFERROR(SUM(J7:J46)/SUM(I7:I46),0)</f>
        <v/>
      </c>
      <c r="I47" s="120">
        <f>SUM(I7:I46)</f>
        <v/>
      </c>
      <c r="J47" s="120">
        <f>SUM(J7:J46)</f>
        <v/>
      </c>
    </row>
    <row r="49">
      <c r="B49" s="102" t="inlineStr">
        <is>
          <t>이 시트는 상품판매가산출 시트를 그대로 비추기만 합니다. 값은 그쪽에서 고치세요.</t>
        </is>
      </c>
    </row>
    <row r="50">
      <c r="B50" s="102" t="inlineStr">
        <is>
          <t>최종 유통가는 영업이 입력한 값이며, 비어 있으면 기준 유통가가 그대로 적용된 것입니다.</t>
        </is>
      </c>
    </row>
    <row r="51">
      <c r="B51" s="102" t="inlineStr">
        <is>
          <t>매입단가는 부대비용까지 더한 개당 매입원가입니다.</t>
        </is>
      </c>
    </row>
    <row r="52">
      <c r="B52" s="102" t="inlineStr">
        <is>
          <t>빈 줄을 감추려면 머리글의 필터에서 '(필드 값 없음)' 체크를 해제하세요.</t>
        </is>
      </c>
    </row>
    <row r="53">
      <c r="B53" s="103" t="inlineStr">
        <is>
          <t>최종 유통가가 BEP 가격보다 낮으면 빨갛게 표시됩니다 — 팔수록 손해입니다.</t>
        </is>
      </c>
    </row>
  </sheetData>
  <autoFilter ref="B6:J46"/>
  <conditionalFormatting sqref="G7:G46">
    <cfRule type="expression" priority="1" dxfId="2" stopIfTrue="0">
      <formula>AND(N($G7)&gt;0,N($F7)&gt;0,$G7&lt;$F7)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2026-09-08T05:14:17Z</dcterms:created>
  <dcterms:modified xsi:type="dcterms:W3CDTF">2026-09-09T00:52:52Z</dcterms:modified>
  <cp:lastModifiedBy>오정민</cp:lastModifiedBy>
</cp:coreProperties>
</file>