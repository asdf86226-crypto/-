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sbath-my.sharepoint.com/personal/jmoh_tsbath_com/Documents/바탕 화면/"/>
    </mc:Choice>
  </mc:AlternateContent>
  <xr:revisionPtr revIDLastSave="8" documentId="8_{EC376765-A0AA-4D5F-8456-56D15CEEC2E4}" xr6:coauthVersionLast="47" xr6:coauthVersionMax="47" xr10:uidLastSave="{E6A28E37-87E9-429C-8A9A-13F60A536505}"/>
  <bookViews>
    <workbookView xWindow="28680" yWindow="-120" windowWidth="29040" windowHeight="15720" activeTab="1" xr2:uid="{00000000-000D-0000-FFFF-FFFF00000000}"/>
  </bookViews>
  <sheets>
    <sheet name="자재판매가산출" sheetId="4" r:id="rId1"/>
    <sheet name="상품판매가산출" sheetId="5" r:id="rId2"/>
    <sheet name="사용안내" sheetId="1" r:id="rId3"/>
    <sheet name="설정" sheetId="2" r:id="rId4"/>
    <sheet name="월평균환율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5" l="1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B3" i="5"/>
  <c r="F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C7" i="2"/>
  <c r="C8" i="2" s="1"/>
  <c r="L37" i="5" l="1"/>
  <c r="T37" i="5" s="1"/>
  <c r="M37" i="5"/>
  <c r="H38" i="4"/>
  <c r="J38" i="4"/>
  <c r="M23" i="5"/>
  <c r="L23" i="5"/>
  <c r="T23" i="5" s="1"/>
  <c r="M45" i="5"/>
  <c r="L45" i="5"/>
  <c r="T45" i="5" s="1"/>
  <c r="M44" i="5"/>
  <c r="L44" i="5"/>
  <c r="T44" i="5" s="1"/>
  <c r="M43" i="5"/>
  <c r="L43" i="5"/>
  <c r="T43" i="5" s="1"/>
  <c r="M42" i="5"/>
  <c r="L42" i="5"/>
  <c r="T42" i="5" s="1"/>
  <c r="M41" i="5"/>
  <c r="L41" i="5"/>
  <c r="T41" i="5" s="1"/>
  <c r="M40" i="5"/>
  <c r="L40" i="5"/>
  <c r="T40" i="5" s="1"/>
  <c r="M39" i="5"/>
  <c r="L39" i="5"/>
  <c r="T39" i="5" s="1"/>
  <c r="M38" i="5"/>
  <c r="L38" i="5"/>
  <c r="T38" i="5" s="1"/>
  <c r="L36" i="5"/>
  <c r="T36" i="5" s="1"/>
  <c r="M36" i="5"/>
  <c r="L35" i="5"/>
  <c r="T35" i="5" s="1"/>
  <c r="M35" i="5"/>
  <c r="M34" i="5"/>
  <c r="L34" i="5"/>
  <c r="T34" i="5" s="1"/>
  <c r="L33" i="5"/>
  <c r="T33" i="5" s="1"/>
  <c r="M33" i="5"/>
  <c r="L32" i="5"/>
  <c r="T32" i="5" s="1"/>
  <c r="M32" i="5"/>
  <c r="L31" i="5"/>
  <c r="T31" i="5" s="1"/>
  <c r="M31" i="5"/>
  <c r="M30" i="5"/>
  <c r="L30" i="5"/>
  <c r="T30" i="5" s="1"/>
  <c r="L29" i="5"/>
  <c r="T29" i="5" s="1"/>
  <c r="M29" i="5"/>
  <c r="M28" i="5"/>
  <c r="L28" i="5"/>
  <c r="T28" i="5" s="1"/>
  <c r="L27" i="5"/>
  <c r="T27" i="5" s="1"/>
  <c r="M27" i="5"/>
  <c r="L26" i="5"/>
  <c r="T26" i="5" s="1"/>
  <c r="M26" i="5"/>
  <c r="L25" i="5"/>
  <c r="T25" i="5" s="1"/>
  <c r="M25" i="5"/>
  <c r="M24" i="5"/>
  <c r="L24" i="5"/>
  <c r="T24" i="5" s="1"/>
  <c r="L22" i="5"/>
  <c r="T22" i="5" s="1"/>
  <c r="M22" i="5"/>
  <c r="M21" i="5"/>
  <c r="L21" i="5"/>
  <c r="T21" i="5" s="1"/>
  <c r="L20" i="5"/>
  <c r="T20" i="5" s="1"/>
  <c r="M20" i="5"/>
  <c r="L19" i="5"/>
  <c r="T19" i="5" s="1"/>
  <c r="M19" i="5"/>
  <c r="L18" i="5"/>
  <c r="T18" i="5" s="1"/>
  <c r="M18" i="5"/>
  <c r="L17" i="5"/>
  <c r="T17" i="5" s="1"/>
  <c r="M17" i="5"/>
  <c r="M16" i="5"/>
  <c r="L16" i="5"/>
  <c r="T16" i="5" s="1"/>
  <c r="M15" i="5"/>
  <c r="L15" i="5"/>
  <c r="T15" i="5" s="1"/>
  <c r="M14" i="5"/>
  <c r="L14" i="5"/>
  <c r="T14" i="5" s="1"/>
  <c r="M13" i="5"/>
  <c r="L13" i="5"/>
  <c r="T13" i="5" s="1"/>
  <c r="L12" i="5"/>
  <c r="T12" i="5" s="1"/>
  <c r="M12" i="5"/>
  <c r="H45" i="4"/>
  <c r="J45" i="4"/>
  <c r="J44" i="4"/>
  <c r="H44" i="4"/>
  <c r="J43" i="4"/>
  <c r="H43" i="4"/>
  <c r="J42" i="4"/>
  <c r="H42" i="4"/>
  <c r="H41" i="4"/>
  <c r="J41" i="4"/>
  <c r="J40" i="4"/>
  <c r="H40" i="4"/>
  <c r="J39" i="4"/>
  <c r="H39" i="4"/>
  <c r="H37" i="4"/>
  <c r="J37" i="4"/>
  <c r="H36" i="4"/>
  <c r="J36" i="4"/>
  <c r="J35" i="4"/>
  <c r="H35" i="4"/>
  <c r="H34" i="4"/>
  <c r="J34" i="4"/>
  <c r="H33" i="4"/>
  <c r="J33" i="4"/>
  <c r="H32" i="4"/>
  <c r="J32" i="4"/>
  <c r="H31" i="4"/>
  <c r="J31" i="4"/>
  <c r="J30" i="4"/>
  <c r="H30" i="4"/>
  <c r="J29" i="4"/>
  <c r="H29" i="4"/>
  <c r="H28" i="4"/>
  <c r="J28" i="4"/>
  <c r="H27" i="4"/>
  <c r="J27" i="4"/>
  <c r="H26" i="4"/>
  <c r="J26" i="4"/>
  <c r="J25" i="4"/>
  <c r="H25" i="4"/>
  <c r="J24" i="4"/>
  <c r="H24" i="4"/>
  <c r="J23" i="4"/>
  <c r="H23" i="4"/>
  <c r="J22" i="4"/>
  <c r="H22" i="4"/>
  <c r="J21" i="4"/>
  <c r="H21" i="4"/>
  <c r="H20" i="4"/>
  <c r="J20" i="4"/>
  <c r="J19" i="4"/>
  <c r="H19" i="4"/>
  <c r="H18" i="4"/>
  <c r="J18" i="4"/>
  <c r="H17" i="4"/>
  <c r="J17" i="4"/>
  <c r="J16" i="4"/>
  <c r="H16" i="4"/>
  <c r="J15" i="4"/>
  <c r="H15" i="4"/>
  <c r="H14" i="4"/>
  <c r="J14" i="4"/>
  <c r="H13" i="4"/>
  <c r="J13" i="4"/>
  <c r="C11" i="2"/>
  <c r="G12" i="4" s="1"/>
  <c r="C12" i="2"/>
  <c r="I6" i="5" s="1"/>
  <c r="I10" i="5" l="1"/>
  <c r="L10" i="5" s="1"/>
  <c r="M10" i="5" s="1"/>
  <c r="O10" i="5" s="1"/>
  <c r="S10" i="5" s="1"/>
  <c r="I9" i="5"/>
  <c r="L9" i="5" s="1"/>
  <c r="H12" i="4"/>
  <c r="J12" i="4"/>
  <c r="S37" i="5"/>
  <c r="O37" i="5"/>
  <c r="K38" i="4"/>
  <c r="O38" i="4"/>
  <c r="O23" i="5"/>
  <c r="S23" i="5"/>
  <c r="B3" i="4"/>
  <c r="O45" i="5"/>
  <c r="S45" i="5"/>
  <c r="O44" i="5"/>
  <c r="S44" i="5"/>
  <c r="O43" i="5"/>
  <c r="S43" i="5"/>
  <c r="O42" i="5"/>
  <c r="S42" i="5"/>
  <c r="O41" i="5"/>
  <c r="S41" i="5"/>
  <c r="O40" i="5"/>
  <c r="S40" i="5"/>
  <c r="O39" i="5"/>
  <c r="S39" i="5"/>
  <c r="O38" i="5"/>
  <c r="S38" i="5"/>
  <c r="O36" i="5"/>
  <c r="S36" i="5"/>
  <c r="O35" i="5"/>
  <c r="S35" i="5"/>
  <c r="O34" i="5"/>
  <c r="S34" i="5"/>
  <c r="O33" i="5"/>
  <c r="S33" i="5"/>
  <c r="O32" i="5"/>
  <c r="S32" i="5"/>
  <c r="O31" i="5"/>
  <c r="S31" i="5"/>
  <c r="O30" i="5"/>
  <c r="S30" i="5"/>
  <c r="S29" i="5"/>
  <c r="O29" i="5"/>
  <c r="S28" i="5"/>
  <c r="O28" i="5"/>
  <c r="O27" i="5"/>
  <c r="S27" i="5"/>
  <c r="O26" i="5"/>
  <c r="S26" i="5"/>
  <c r="O25" i="5"/>
  <c r="S25" i="5"/>
  <c r="O24" i="5"/>
  <c r="S24" i="5"/>
  <c r="O22" i="5"/>
  <c r="S22" i="5"/>
  <c r="S21" i="5"/>
  <c r="O21" i="5"/>
  <c r="S20" i="5"/>
  <c r="O20" i="5"/>
  <c r="O19" i="5"/>
  <c r="S19" i="5"/>
  <c r="O18" i="5"/>
  <c r="S18" i="5"/>
  <c r="O17" i="5"/>
  <c r="S17" i="5"/>
  <c r="O16" i="5"/>
  <c r="S16" i="5"/>
  <c r="O15" i="5"/>
  <c r="S15" i="5"/>
  <c r="S14" i="5"/>
  <c r="O14" i="5"/>
  <c r="O13" i="5"/>
  <c r="S13" i="5"/>
  <c r="O12" i="5"/>
  <c r="S12" i="5"/>
  <c r="K45" i="4"/>
  <c r="O45" i="4"/>
  <c r="K44" i="4"/>
  <c r="O44" i="4"/>
  <c r="K43" i="4"/>
  <c r="O43" i="4"/>
  <c r="K42" i="4"/>
  <c r="O42" i="4"/>
  <c r="K41" i="4"/>
  <c r="O41" i="4"/>
  <c r="K40" i="4"/>
  <c r="O40" i="4"/>
  <c r="K39" i="4"/>
  <c r="O39" i="4"/>
  <c r="K37" i="4"/>
  <c r="O37" i="4"/>
  <c r="K36" i="4"/>
  <c r="O36" i="4"/>
  <c r="K35" i="4"/>
  <c r="O35" i="4"/>
  <c r="K34" i="4"/>
  <c r="O34" i="4"/>
  <c r="K33" i="4"/>
  <c r="O33" i="4"/>
  <c r="K32" i="4"/>
  <c r="O32" i="4"/>
  <c r="K31" i="4"/>
  <c r="O31" i="4"/>
  <c r="K30" i="4"/>
  <c r="O30" i="4"/>
  <c r="K29" i="4"/>
  <c r="O29" i="4"/>
  <c r="K28" i="4"/>
  <c r="O28" i="4"/>
  <c r="K27" i="4"/>
  <c r="O27" i="4"/>
  <c r="K26" i="4"/>
  <c r="O26" i="4"/>
  <c r="O25" i="4"/>
  <c r="K25" i="4"/>
  <c r="K24" i="4"/>
  <c r="O24" i="4"/>
  <c r="K23" i="4"/>
  <c r="O23" i="4"/>
  <c r="K22" i="4"/>
  <c r="O22" i="4"/>
  <c r="K21" i="4"/>
  <c r="O21" i="4"/>
  <c r="O20" i="4"/>
  <c r="K20" i="4"/>
  <c r="K19" i="4"/>
  <c r="O19" i="4"/>
  <c r="K18" i="4"/>
  <c r="O18" i="4"/>
  <c r="O17" i="4"/>
  <c r="K17" i="4"/>
  <c r="O16" i="4"/>
  <c r="K16" i="4"/>
  <c r="O15" i="4"/>
  <c r="K15" i="4"/>
  <c r="K14" i="4"/>
  <c r="O14" i="4"/>
  <c r="K13" i="4"/>
  <c r="O13" i="4"/>
  <c r="G9" i="4"/>
  <c r="G10" i="4"/>
  <c r="I11" i="5"/>
  <c r="G6" i="4"/>
  <c r="G7" i="4"/>
  <c r="G8" i="4"/>
  <c r="G11" i="4"/>
  <c r="I8" i="5"/>
  <c r="I7" i="5"/>
  <c r="M9" i="5" l="1"/>
  <c r="O9" i="5" s="1"/>
  <c r="T9" i="5" s="1"/>
  <c r="O12" i="4"/>
  <c r="K12" i="4"/>
  <c r="R37" i="5"/>
  <c r="U37" i="5"/>
  <c r="P37" i="5"/>
  <c r="Q37" i="5"/>
  <c r="V37" i="5" s="1"/>
  <c r="M38" i="4"/>
  <c r="N38" i="4"/>
  <c r="L38" i="4"/>
  <c r="Q23" i="5"/>
  <c r="V23" i="5" s="1"/>
  <c r="R23" i="5"/>
  <c r="P23" i="5"/>
  <c r="U23" i="5"/>
  <c r="P45" i="5"/>
  <c r="Q45" i="5"/>
  <c r="V45" i="5" s="1"/>
  <c r="R45" i="5"/>
  <c r="U45" i="5"/>
  <c r="P44" i="5"/>
  <c r="Q44" i="5"/>
  <c r="V44" i="5" s="1"/>
  <c r="R44" i="5"/>
  <c r="U44" i="5"/>
  <c r="P43" i="5"/>
  <c r="Q43" i="5"/>
  <c r="V43" i="5" s="1"/>
  <c r="R43" i="5"/>
  <c r="U43" i="5"/>
  <c r="P42" i="5"/>
  <c r="Q42" i="5"/>
  <c r="V42" i="5" s="1"/>
  <c r="R42" i="5"/>
  <c r="U42" i="5"/>
  <c r="P41" i="5"/>
  <c r="Q41" i="5"/>
  <c r="V41" i="5" s="1"/>
  <c r="R41" i="5"/>
  <c r="U41" i="5"/>
  <c r="P40" i="5"/>
  <c r="Q40" i="5"/>
  <c r="V40" i="5" s="1"/>
  <c r="R40" i="5"/>
  <c r="U40" i="5"/>
  <c r="P39" i="5"/>
  <c r="Q39" i="5"/>
  <c r="V39" i="5" s="1"/>
  <c r="R39" i="5"/>
  <c r="U39" i="5"/>
  <c r="P38" i="5"/>
  <c r="Q38" i="5"/>
  <c r="V38" i="5" s="1"/>
  <c r="R38" i="5"/>
  <c r="U38" i="5"/>
  <c r="P36" i="5"/>
  <c r="Q36" i="5"/>
  <c r="V36" i="5" s="1"/>
  <c r="R36" i="5"/>
  <c r="U36" i="5"/>
  <c r="P35" i="5"/>
  <c r="Q35" i="5"/>
  <c r="V35" i="5" s="1"/>
  <c r="R35" i="5"/>
  <c r="U35" i="5"/>
  <c r="P34" i="5"/>
  <c r="Q34" i="5"/>
  <c r="V34" i="5" s="1"/>
  <c r="R34" i="5"/>
  <c r="U34" i="5"/>
  <c r="P33" i="5"/>
  <c r="Q33" i="5"/>
  <c r="V33" i="5" s="1"/>
  <c r="R33" i="5"/>
  <c r="U33" i="5"/>
  <c r="P32" i="5"/>
  <c r="R32" i="5"/>
  <c r="Q32" i="5"/>
  <c r="V32" i="5" s="1"/>
  <c r="U32" i="5"/>
  <c r="P31" i="5"/>
  <c r="Q31" i="5"/>
  <c r="V31" i="5" s="1"/>
  <c r="R31" i="5"/>
  <c r="U31" i="5"/>
  <c r="Q30" i="5"/>
  <c r="V30" i="5" s="1"/>
  <c r="P30" i="5"/>
  <c r="R30" i="5"/>
  <c r="U30" i="5"/>
  <c r="R29" i="5"/>
  <c r="U29" i="5"/>
  <c r="P29" i="5"/>
  <c r="Q29" i="5"/>
  <c r="V29" i="5" s="1"/>
  <c r="R28" i="5"/>
  <c r="U28" i="5"/>
  <c r="P28" i="5"/>
  <c r="Q28" i="5"/>
  <c r="V28" i="5" s="1"/>
  <c r="P27" i="5"/>
  <c r="Q27" i="5"/>
  <c r="V27" i="5" s="1"/>
  <c r="R27" i="5"/>
  <c r="U27" i="5"/>
  <c r="P26" i="5"/>
  <c r="Q26" i="5"/>
  <c r="V26" i="5" s="1"/>
  <c r="R26" i="5"/>
  <c r="U26" i="5"/>
  <c r="P25" i="5"/>
  <c r="Q25" i="5"/>
  <c r="V25" i="5" s="1"/>
  <c r="R25" i="5"/>
  <c r="U25" i="5"/>
  <c r="Q24" i="5"/>
  <c r="V24" i="5" s="1"/>
  <c r="P24" i="5"/>
  <c r="U24" i="5"/>
  <c r="R24" i="5"/>
  <c r="Q22" i="5"/>
  <c r="V22" i="5" s="1"/>
  <c r="R22" i="5"/>
  <c r="P22" i="5"/>
  <c r="U22" i="5"/>
  <c r="Q21" i="5"/>
  <c r="V21" i="5" s="1"/>
  <c r="R21" i="5"/>
  <c r="U21" i="5"/>
  <c r="P21" i="5"/>
  <c r="Q20" i="5"/>
  <c r="V20" i="5" s="1"/>
  <c r="R20" i="5"/>
  <c r="P20" i="5"/>
  <c r="U20" i="5"/>
  <c r="Q19" i="5"/>
  <c r="V19" i="5" s="1"/>
  <c r="U19" i="5"/>
  <c r="R19" i="5"/>
  <c r="P19" i="5"/>
  <c r="P18" i="5"/>
  <c r="R18" i="5"/>
  <c r="Q18" i="5"/>
  <c r="V18" i="5" s="1"/>
  <c r="U18" i="5"/>
  <c r="R17" i="5"/>
  <c r="U17" i="5"/>
  <c r="P17" i="5"/>
  <c r="Q17" i="5"/>
  <c r="V17" i="5" s="1"/>
  <c r="P16" i="5"/>
  <c r="U16" i="5"/>
  <c r="R16" i="5"/>
  <c r="Q16" i="5"/>
  <c r="V16" i="5" s="1"/>
  <c r="Q15" i="5"/>
  <c r="V15" i="5" s="1"/>
  <c r="R15" i="5"/>
  <c r="P15" i="5"/>
  <c r="U15" i="5"/>
  <c r="Q14" i="5"/>
  <c r="V14" i="5" s="1"/>
  <c r="U14" i="5"/>
  <c r="P14" i="5"/>
  <c r="R14" i="5"/>
  <c r="P13" i="5"/>
  <c r="Q13" i="5"/>
  <c r="V13" i="5" s="1"/>
  <c r="R13" i="5"/>
  <c r="U13" i="5"/>
  <c r="P12" i="5"/>
  <c r="Q12" i="5"/>
  <c r="V12" i="5" s="1"/>
  <c r="R12" i="5"/>
  <c r="U12" i="5"/>
  <c r="T10" i="5"/>
  <c r="P10" i="5"/>
  <c r="Q10" i="5" s="1"/>
  <c r="U10" i="5"/>
  <c r="N45" i="4"/>
  <c r="L45" i="4"/>
  <c r="M45" i="4"/>
  <c r="L44" i="4"/>
  <c r="N44" i="4"/>
  <c r="M44" i="4"/>
  <c r="L43" i="4"/>
  <c r="M43" i="4"/>
  <c r="N43" i="4"/>
  <c r="L42" i="4"/>
  <c r="M42" i="4"/>
  <c r="N42" i="4"/>
  <c r="L41" i="4"/>
  <c r="M41" i="4"/>
  <c r="N41" i="4"/>
  <c r="L40" i="4"/>
  <c r="M40" i="4"/>
  <c r="N40" i="4"/>
  <c r="L39" i="4"/>
  <c r="M39" i="4"/>
  <c r="N39" i="4"/>
  <c r="L37" i="4"/>
  <c r="M37" i="4"/>
  <c r="N37" i="4"/>
  <c r="L36" i="4"/>
  <c r="M36" i="4"/>
  <c r="N36" i="4"/>
  <c r="L35" i="4"/>
  <c r="M35" i="4"/>
  <c r="N35" i="4"/>
  <c r="L34" i="4"/>
  <c r="M34" i="4"/>
  <c r="N34" i="4"/>
  <c r="N33" i="4"/>
  <c r="M33" i="4"/>
  <c r="L33" i="4"/>
  <c r="M32" i="4"/>
  <c r="L32" i="4"/>
  <c r="N32" i="4"/>
  <c r="L31" i="4"/>
  <c r="M31" i="4"/>
  <c r="N31" i="4"/>
  <c r="L30" i="4"/>
  <c r="M30" i="4"/>
  <c r="N30" i="4"/>
  <c r="M29" i="4"/>
  <c r="N29" i="4"/>
  <c r="L29" i="4"/>
  <c r="L28" i="4"/>
  <c r="N28" i="4"/>
  <c r="M28" i="4"/>
  <c r="N27" i="4"/>
  <c r="L27" i="4"/>
  <c r="M27" i="4"/>
  <c r="M26" i="4"/>
  <c r="L26" i="4"/>
  <c r="N26" i="4"/>
  <c r="N25" i="4"/>
  <c r="L25" i="4"/>
  <c r="M25" i="4"/>
  <c r="L24" i="4"/>
  <c r="M24" i="4"/>
  <c r="N24" i="4"/>
  <c r="L23" i="4"/>
  <c r="M23" i="4"/>
  <c r="N23" i="4"/>
  <c r="L22" i="4"/>
  <c r="M22" i="4"/>
  <c r="N22" i="4"/>
  <c r="L21" i="4"/>
  <c r="M21" i="4"/>
  <c r="N21" i="4"/>
  <c r="L20" i="4"/>
  <c r="M20" i="4"/>
  <c r="N20" i="4"/>
  <c r="L19" i="4"/>
  <c r="N19" i="4"/>
  <c r="M19" i="4"/>
  <c r="N18" i="4"/>
  <c r="L18" i="4"/>
  <c r="M18" i="4"/>
  <c r="N17" i="4"/>
  <c r="M17" i="4"/>
  <c r="L17" i="4"/>
  <c r="N16" i="4"/>
  <c r="L16" i="4"/>
  <c r="M16" i="4"/>
  <c r="L15" i="4"/>
  <c r="M15" i="4"/>
  <c r="N15" i="4"/>
  <c r="M14" i="4"/>
  <c r="L14" i="4"/>
  <c r="N14" i="4"/>
  <c r="N13" i="4"/>
  <c r="L13" i="4"/>
  <c r="M13" i="4"/>
  <c r="H9" i="4"/>
  <c r="J9" i="4"/>
  <c r="H10" i="4"/>
  <c r="J10" i="4"/>
  <c r="L11" i="5"/>
  <c r="M11" i="5" s="1"/>
  <c r="L6" i="5"/>
  <c r="M6" i="5" s="1"/>
  <c r="H6" i="4"/>
  <c r="J6" i="4"/>
  <c r="H7" i="4"/>
  <c r="J7" i="4"/>
  <c r="H8" i="4"/>
  <c r="J8" i="4"/>
  <c r="H11" i="4"/>
  <c r="J11" i="4"/>
  <c r="L8" i="5"/>
  <c r="M8" i="5" s="1"/>
  <c r="L7" i="5"/>
  <c r="M7" i="5" s="1"/>
  <c r="U9" i="5" l="1"/>
  <c r="P9" i="5"/>
  <c r="Q9" i="5" s="1"/>
  <c r="S9" i="5"/>
  <c r="L12" i="4"/>
  <c r="M12" i="4" s="1"/>
  <c r="N12" i="4"/>
  <c r="K9" i="4"/>
  <c r="O9" i="4"/>
  <c r="K10" i="4"/>
  <c r="O10" i="4"/>
  <c r="O11" i="5"/>
  <c r="S11" i="5" s="1"/>
  <c r="O6" i="5"/>
  <c r="S6" i="5" s="1"/>
  <c r="O6" i="4"/>
  <c r="K6" i="4"/>
  <c r="K7" i="4"/>
  <c r="O7" i="4"/>
  <c r="K8" i="4"/>
  <c r="O8" i="4"/>
  <c r="K11" i="4"/>
  <c r="O11" i="4"/>
  <c r="O8" i="5"/>
  <c r="S8" i="5" s="1"/>
  <c r="O7" i="5"/>
  <c r="S7" i="5" s="1"/>
  <c r="R10" i="5"/>
  <c r="V10" i="5"/>
  <c r="V9" i="5" l="1"/>
  <c r="R9" i="5"/>
  <c r="L9" i="4"/>
  <c r="M9" i="4" s="1"/>
  <c r="N9" i="4"/>
  <c r="L10" i="4"/>
  <c r="M10" i="4" s="1"/>
  <c r="N10" i="4"/>
  <c r="T11" i="5"/>
  <c r="P11" i="5"/>
  <c r="Q11" i="5" s="1"/>
  <c r="U11" i="5"/>
  <c r="T6" i="5"/>
  <c r="P6" i="5"/>
  <c r="Q6" i="5" s="1"/>
  <c r="U6" i="5"/>
  <c r="L6" i="4"/>
  <c r="M6" i="4" s="1"/>
  <c r="N6" i="4"/>
  <c r="L7" i="4"/>
  <c r="M7" i="4" s="1"/>
  <c r="N7" i="4"/>
  <c r="L8" i="4"/>
  <c r="M8" i="4" s="1"/>
  <c r="N8" i="4"/>
  <c r="L11" i="4"/>
  <c r="M11" i="4" s="1"/>
  <c r="N11" i="4"/>
  <c r="T8" i="5"/>
  <c r="P8" i="5"/>
  <c r="Q8" i="5" s="1"/>
  <c r="U8" i="5"/>
  <c r="T7" i="5"/>
  <c r="P7" i="5"/>
  <c r="Q7" i="5" s="1"/>
  <c r="U7" i="5"/>
  <c r="O46" i="4"/>
  <c r="L46" i="4" l="1"/>
  <c r="M46" i="4"/>
  <c r="N46" i="4"/>
  <c r="U46" i="5"/>
  <c r="R11" i="5"/>
  <c r="V11" i="5"/>
  <c r="R6" i="5"/>
  <c r="V6" i="5"/>
  <c r="R8" i="5"/>
  <c r="V8" i="5"/>
  <c r="R7" i="5"/>
  <c r="V7" i="5"/>
  <c r="V46" i="5" l="1"/>
  <c r="R4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안내</author>
  </authors>
  <commentList>
    <comment ref="C19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원가 가산 30%: 입고원가 10,000원 → 판매가 13,000원 (판매가 대비 마진 23.1%)
판매가 마진 30%: 입고원가 10,000원 → 판매가 14,286원 (원가 대비 42.9%)
사내에서 쓰는 정의로 고정하세요.</t>
        </r>
      </text>
    </comment>
    <comment ref="C26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매출 대비: 판관비와 영업이익을 모두 '매출의 몇 %'로 봅니다.
  BEP가   = 매입원가 ÷ (1 − 판관비율)
  기준유통가 = 매입원가 ÷ (1 − 판관비율 − 영업이익률)
  이 방식에서만 BEP가 정확히 영업이익 0원이 되는 지점입니다.
원가 가산: 매입원가에 순서대로 곱합니다.
  BEP가   = 매입원가 × (1 + 판관비율)
  기준유통가 = BEP가 × (1 + 영업이익률)</t>
        </r>
      </text>
    </comment>
  </commentList>
</comments>
</file>

<file path=xl/sharedStrings.xml><?xml version="1.0" encoding="utf-8"?>
<sst xmlns="http://schemas.openxmlformats.org/spreadsheetml/2006/main" count="199" uniqueCount="178">
  <si>
    <t>사용 안내</t>
  </si>
  <si>
    <t>1. 매달 할 일 — 환율 갱신</t>
  </si>
  <si>
    <t>① 서울외국환중개 월평균 매매기준율 페이지를 엽니다.</t>
  </si>
  <si>
    <t xml:space="preserve">   http://www.smbs.biz/ExRate/MonAvgStdExRate.jsp</t>
  </si>
  <si>
    <t>② 표에서 해당 월의 미국(USD)과 중국(CNY) 값을 확인합니다.</t>
  </si>
  <si>
    <t>③ [월평균환율] 시트에 한 줄 추가합니다. 연월은 2026-08 처럼 텍스트로 입력하세요.</t>
  </si>
  <si>
    <t>④ 끝입니다. 오늘이 9월이면 8월 값이 자동으로 잡힙니다.</t>
  </si>
  <si>
    <t>2. 자동으로 받아오려면 — 파워쿼리 (Windows 엑셀)</t>
  </si>
  <si>
    <t>① [데이터] 탭 → [데이터 가져오기] → [기타 원본에서] → [웹]</t>
  </si>
  <si>
    <t>② 위 주소를 넣고 [확인] → 탐색 창에서 월평균 표를 고른 뒤 [데이터 변환]</t>
  </si>
  <si>
    <t>③ 연월 · USD · CNY 열만 남기고, 연월을 텍스트로 바꾼 뒤 [닫기 및 로드]</t>
  </si>
  <si>
    <t>④ 이후에는 [데이터] → [모두 새로 고침] 한 번이면 갱신됩니다.</t>
  </si>
  <si>
    <t>※ 이 절차는 실제 사이트에서 확인하지 못했습니다. 사이트 표 구조에 따라 ③단계 열 이름이 다를 수 있고,</t>
  </si>
  <si>
    <t xml:space="preserve">   맥 엑셀은 웹 커넥터 기능이 제한됩니다. 잘 안 되면 위 1번 수동 입력으로 충분합니다.</t>
  </si>
  <si>
    <t>3. 계산 흐름</t>
  </si>
  <si>
    <t>외화 단가 × 환율 = 원화 환산가</t>
  </si>
  <si>
    <t>원화 환산가 × (1 + 부대비용률) = 입고원가</t>
  </si>
  <si>
    <t>입고원가 × (1 + 이윤율)  ← 원가 가산 방식</t>
  </si>
  <si>
    <t>입고원가 ÷ (1 − 이윤율)  ← 판매가 마진 방식</t>
  </si>
  <si>
    <t>→ 절상 단위로 올림 = 판매단가</t>
  </si>
  <si>
    <t>4. 이윤 30%의 두 가지 뜻 — 하나로 고정하세요</t>
  </si>
  <si>
    <t>원가 가산 30%   : 입고원가 10,000원 → 판매가 13,000원 (판매가 대비 마진 23.1%)</t>
  </si>
  <si>
    <t>판매가 마진 30% : 입고원가 10,000원 → 판매가 14,286원 (원가 대비 42.9%)</t>
  </si>
  <si>
    <t>회계상 매출총이익률은 매출 기준이라, 원가에 30%를 붙이면 장부에는 23.1%로 찍힙니다.</t>
  </si>
  <si>
    <t>5. 상품 판매가 (상품판매가 시트) — 수입품 · 국내구매품 유통</t>
  </si>
  <si>
    <t>매입원가 → (판관비) → BEP 가격 → (영업이익) → 기준 유통가 → 영업이 최종 유통가 결정</t>
  </si>
  <si>
    <t>① 매입원가</t>
  </si>
  <si>
    <t xml:space="preserve">   수입품: 외화 단가 × 환율 × (1 + 수입 부대비용률)</t>
  </si>
  <si>
    <t xml:space="preserve">   국내구매품: 원화 매입단가 × (1 + 국내 부대비용률)</t>
  </si>
  <si>
    <t>② BEP 가격 — 팔아도 남지도 밑지지도 않는 가격. 이 밑으로 내려가면 손해입니다.</t>
  </si>
  <si>
    <t xml:space="preserve">   매출 대비 방식: 매입원가 ÷ (1 − 판관비율)</t>
  </si>
  <si>
    <t xml:space="preserve">   원가 가산 방식: 매입원가 × (1 + 판관비율)</t>
  </si>
  <si>
    <t>③ 기준 유통가 — BEP에 목표 영업이익을 얹은 값. 영업에 전달하는 가격입니다.</t>
  </si>
  <si>
    <t xml:space="preserve">   매출 대비 방식: 매입원가 ÷ (1 − 판관비율 − 영업이익률)</t>
  </si>
  <si>
    <t xml:space="preserve">   원가 가산 방식: BEP 가격 × (1 + 영업이익률)</t>
  </si>
  <si>
    <t>④ 최종 유통가 — 영업이 협상해 정한 값을 노란 칸(L열)에 적습니다.</t>
  </si>
  <si>
    <t xml:space="preserve">   비워 두면 기준 유통가가 그대로 적용되고, 적어 넣으면 실제 영업이익률이 즉시 다시 계산됩니다.</t>
  </si>
  <si>
    <t xml:space="preserve">   BEP보다 낮게 적으면 그 칸이 빨갛게 바뀝니다.</t>
  </si>
  <si>
    <t>두 계산 방식의 차이 (매입원가 100,000원 · 판관비 25% · 영업이익 10% 기준)</t>
  </si>
  <si>
    <t xml:space="preserve">   매출 대비: BEP 133,333원 → 기준 유통가 153,846원 (영업이익률 정확히 10%)</t>
  </si>
  <si>
    <t xml:space="preserve">   원가 가산: BEP 125,000원 → 기준 유통가 137,500원 (실제 영업이익률 9.1%)</t>
  </si>
  <si>
    <t xml:space="preserve">   BEP를 '영업이익 0원인 지점'으로 쓰시려면 매출 대비 방식이 맞습니다.</t>
  </si>
  <si>
    <t>6. 두 판매가 시트의 차이</t>
  </si>
  <si>
    <t>판매가산출 시트 : 수입 자재를 태성정밀에 공급하는 가격. 부대비용 + 이윤으로 단순 계산.</t>
  </si>
  <si>
    <t>상품판매가 시트 : 수입품·국내구매품을 유통하는 가격. 판관비를 태워 BEP를 먼저 잡습니다.</t>
  </si>
  <si>
    <t>7. 확인이 필요한 항목</t>
  </si>
  <si>
    <t>· 부대비용 8%는 물품대에 일괄 적용됩니다. 관세는 HS코드별, 운임은 중량·부피 기준이라</t>
  </si>
  <si>
    <t xml:space="preserve">  품목별 편차가 크면 통관비·운임을 실비로 분리하는 편이 정확합니다.</t>
  </si>
  <si>
    <t>· 환율 기준 시점(매입일 / 통관 과세환율 / 결제일)을 정해야 재무 대사가 맞습니다.</t>
  </si>
  <si>
    <t>· 판관비율 25%는 임의의 출발값입니다. 실제 손익계산서의 판관비 ÷ 매출액으로 바꿔 주세요.</t>
  </si>
  <si>
    <t>· 판관비를 품목별로 배부할지(매출 비례 / 물량 비례) 정해 두면 품목별 H열로 조정할 수 있습니다.</t>
  </si>
  <si>
    <t>· 이 파일의 환율과 품목은 모두 예시입니다. 실제 값으로 교체한 뒤 사용하세요.</t>
  </si>
  <si>
    <t>수입자재 판매가 산출 — 설정</t>
  </si>
  <si>
    <t>플로우텍 수입 → 태성정밀 공급 · 모든 금액 부가세 별도</t>
  </si>
  <si>
    <t>■ 환율</t>
  </si>
  <si>
    <t>기준 선택</t>
  </si>
  <si>
    <t>전월 평균</t>
  </si>
  <si>
    <t>전월 평균 / 당월 평균 / 직접 입력 중에서 고릅니다.</t>
  </si>
  <si>
    <t>대상 월(날짜)</t>
  </si>
  <si>
    <t>오늘 날짜에서 자동 계산됩니다. 손대지 마세요.</t>
  </si>
  <si>
    <t>적용 연월</t>
  </si>
  <si>
    <t>월평균환율 시트에서 이 연월을 찾아 환율을 가져옵니다.</t>
  </si>
  <si>
    <t>직접 지정 연월</t>
  </si>
  <si>
    <t>2026-08</t>
  </si>
  <si>
    <t>기준 선택이 "직접 입력"일 때만 사용합니다. YYYY-MM 형식.</t>
  </si>
  <si>
    <t>적용 USD / 원</t>
  </si>
  <si>
    <t>월평균환율 시트에 해당 연월이 없으면 아래 수동 환율을 씁니다.</t>
  </si>
  <si>
    <t>적용 CNY / 원</t>
  </si>
  <si>
    <t>수동 USD / 원</t>
  </si>
  <si>
    <t>예비값입니다. 실제 환율로 바꿔 주세요.</t>
  </si>
  <si>
    <t>수동 CNY / 원</t>
  </si>
  <si>
    <t>■ 원가 · 이윤</t>
  </si>
  <si>
    <t>부대비용률</t>
  </si>
  <si>
    <t>운임 · 관세 · 통관수수료 · 창고/내륙운송 · 환리스크를 통으로 잡은 비율.</t>
  </si>
  <si>
    <t>이윤율</t>
  </si>
  <si>
    <t>품목별로 다르게 주려면 판매가산출 시트 G열에 개별 입력하세요.</t>
  </si>
  <si>
    <t>계산 방식</t>
  </si>
  <si>
    <t>"원가 가산" = 입고원가 × 1.30 · "판매가 마진" = 입고원가 ÷ 0.70</t>
  </si>
  <si>
    <t>판매단가 절상 단위</t>
  </si>
  <si>
    <t>1이면 반올림, 10/100/1000이면 그 단위로 올림 처리합니다.</t>
  </si>
  <si>
    <t>■ 상품 판매가 (수입품 · 국내구매품 유통)</t>
  </si>
  <si>
    <t>국내 부대비용률</t>
  </si>
  <si>
    <t>국내구매품의 운반비 · 검수비 등. 없으면 0%.</t>
  </si>
  <si>
    <t>판관비율</t>
  </si>
  <si>
    <t>인건비 · 임차료 · 물류 · 판촉 등 판매관리비. 실제 손익계산서 비율로 바꾸세요.</t>
  </si>
  <si>
    <t>영업이익률</t>
  </si>
  <si>
    <t>기준 유통가에 얹을 목표 영업이익.</t>
  </si>
  <si>
    <t>상품가 계산 방식</t>
  </si>
  <si>
    <t>매출 대비</t>
  </si>
  <si>
    <t>"매출 대비" = 매입원가 ÷ (1 − 판관비율 − 영업이익률) · "원가 가산" = 매입원가 × (1+판관비율) × (1+영업이익률)</t>
  </si>
  <si>
    <t>기준유통가 절상 단위</t>
  </si>
  <si>
    <t>1이면 반올림, 100/1000이면 그 단위로 올림.</t>
  </si>
  <si>
    <t>■ 범례</t>
  </si>
  <si>
    <t>파란 글씨</t>
  </si>
  <si>
    <t>직접 입력하는 칸</t>
  </si>
  <si>
    <t>노란 채우기</t>
  </si>
  <si>
    <t>반드시 확인하고 채워야 하는 칸</t>
  </si>
  <si>
    <t>검정 글씨</t>
  </si>
  <si>
    <t>수식 — 손대지 마세요</t>
  </si>
  <si>
    <t>초록 글씨</t>
  </si>
  <si>
    <t>다른 시트를 참조하는 수식</t>
  </si>
  <si>
    <t>월평균 매매기준율</t>
  </si>
  <si>
    <t>출처: 서울외국환중개 http://www.smbs.biz/ExRate/MonAvgStdExRate.jsp — 매달 갱신하세요.</t>
  </si>
  <si>
    <t>연월</t>
  </si>
  <si>
    <t>USD / 원</t>
  </si>
  <si>
    <t>CNY / 원</t>
  </si>
  <si>
    <t>2026-03</t>
  </si>
  <si>
    <t>2026-04</t>
  </si>
  <si>
    <t>2026-05</t>
  </si>
  <si>
    <t>2026-06</t>
  </si>
  <si>
    <t>2026-07</t>
  </si>
  <si>
    <t>연월은 반드시 텍스트 YYYY-MM 형식으로 넣으세요. 날짜로 바뀌면 설정 시트가 값을 찾지 못합니다.</t>
  </si>
  <si>
    <t>자재 판매가 산출 — 태성정밀 공급</t>
  </si>
  <si>
    <t>품목</t>
  </si>
  <si>
    <t>통화</t>
  </si>
  <si>
    <t>외화 단가</t>
  </si>
  <si>
    <t>수량</t>
  </si>
  <si>
    <t>원화 환산</t>
  </si>
  <si>
    <t>적용 이윤율</t>
  </si>
  <si>
    <t>개당 마진</t>
  </si>
  <si>
    <t>마진율</t>
  </si>
  <si>
    <t>판매 합계</t>
  </si>
  <si>
    <t>원가 합계</t>
  </si>
  <si>
    <t>USD</t>
  </si>
  <si>
    <t>합계</t>
  </si>
  <si>
    <t>파란 글씨 칸(A~D, G)만 입력하세요. 나머지는 수식입니다.</t>
  </si>
  <si>
    <t>G열 이윤율을 비워 두면 설정 시트의 기본 이윤율이 적용됩니다.</t>
  </si>
  <si>
    <t>샘플 6개 품목은 형식을 보여주기 위한 예시입니다. 실제 품목으로 교체하세요.</t>
  </si>
  <si>
    <t>표시 금액은 모두 부가세 별도, 태성정밀 공급가 기준입니다.</t>
  </si>
  <si>
    <t>상품 판매가 산출 — 수입품 · 국내구매품 유통</t>
  </si>
  <si>
    <t>상품</t>
  </si>
  <si>
    <t>구분</t>
  </si>
  <si>
    <t>원화 매입단가</t>
  </si>
  <si>
    <t>BEP 가격</t>
  </si>
  <si>
    <t>기준 유통가</t>
  </si>
  <si>
    <t>최종 유통가
(영업 입력)</t>
  </si>
  <si>
    <t>적용가</t>
  </si>
  <si>
    <t>영업이익률
(실제)</t>
  </si>
  <si>
    <t>기준가 대비</t>
  </si>
  <si>
    <t>BEP 대비</t>
  </si>
  <si>
    <t>매출 합계</t>
  </si>
  <si>
    <t>영업이익 합계</t>
  </si>
  <si>
    <t>국내</t>
  </si>
  <si>
    <t>① 구분(수입/국내)에 따라 D열(외화 단가) 또는 E열(원화 매입단가) 하나만 채웁니다.</t>
  </si>
  <si>
    <t>② H·I열을 비워 두면 설정 시트의 기본 판관비율·영업이익률이 적용됩니다.</t>
  </si>
  <si>
    <t>③ K열 기준 유통가를 영업에 전달하고, 영업이 정한 값을 L열(노란 칸)에 적습니다. 비워 두면 기준가가 그대로 적용됩니다.</t>
  </si>
  <si>
    <t>④ 최종 유통가가 BEP 가격보다 낮으면 L열이 빨갛게 표시됩니다 — 팔수록 손해라는 뜻입니다.</t>
  </si>
  <si>
    <t>샘플 6개 상품은 형식을 보여주기 위한 예시입니다. 실제 상품으로 교체하세요.</t>
  </si>
  <si>
    <t>표시 금액은 모두 부가세 별도입니다.</t>
  </si>
  <si>
    <t>판매가 마진</t>
  </si>
  <si>
    <t>KRW</t>
  </si>
  <si>
    <t>입고원가</t>
    <phoneticPr fontId="27" type="noConversion"/>
  </si>
  <si>
    <t>판매단가</t>
    <phoneticPr fontId="27" type="noConversion"/>
  </si>
  <si>
    <t>2026-02</t>
  </si>
  <si>
    <t>2026-01</t>
  </si>
  <si>
    <t>2026-00</t>
  </si>
  <si>
    <t>센서주방몸통(도금)</t>
  </si>
  <si>
    <t>IR센서싱크 몸통 / 매트블랙</t>
  </si>
  <si>
    <t>IR센서싱크 몸통 / 브러쉬드니켈</t>
  </si>
  <si>
    <t>IR센서싱크 몸통 / 크롬 / (분리형)</t>
  </si>
  <si>
    <t>IR센서싱크 몸통 / 블랙 / (분리형)</t>
  </si>
  <si>
    <t>IR센서싱크 몸통 / 브러쉬드니켈 / (분리형)</t>
  </si>
  <si>
    <t>일체형터치싱크 몸통 / 크롬</t>
  </si>
  <si>
    <t>품목코드</t>
    <phoneticPr fontId="27" type="noConversion"/>
  </si>
  <si>
    <t>710222.0</t>
  </si>
  <si>
    <t>710222.B</t>
  </si>
  <si>
    <t>710222.BN</t>
  </si>
  <si>
    <t>710224.0</t>
  </si>
  <si>
    <t>710224.B</t>
  </si>
  <si>
    <t>710224.BN</t>
  </si>
  <si>
    <t>710232.0</t>
  </si>
  <si>
    <t>TF-AC7111B2</t>
  </si>
  <si>
    <t>TF-AC7508.BN</t>
  </si>
  <si>
    <t>이중휴지걸이</t>
    <phoneticPr fontId="27" type="noConversion"/>
  </si>
  <si>
    <t>샴푸바스켓</t>
    <phoneticPr fontId="27" type="noConversion"/>
  </si>
  <si>
    <t>매입원가
/개</t>
    <phoneticPr fontId="27" type="noConversion"/>
  </si>
  <si>
    <t>판관비
/개</t>
    <phoneticPr fontId="27" type="noConversion"/>
  </si>
  <si>
    <t>영업이익
/개</t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</si>
</sst>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0.0%"/>
    <numFmt numFmtId="178" formatCode="#,##0;\(#,##0\);\-"/>
    <numFmt numFmtId="179" formatCode="0.00_);[Red]\(0.00\)"/>
  </numFmts>
  <fonts count="34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14606B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rgb="FF008000"/>
      <name val="맑은 고딕"/>
      <family val="3"/>
      <charset val="129"/>
    </font>
    <font>
      <sz val="9"/>
      <color rgb="FFC00000"/>
      <name val="맑은 고딕"/>
      <family val="3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rgb="FF80808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9" applyNumberFormat="0" applyFont="0" applyAlignment="0" applyProtection="0">
      <alignment vertical="center"/>
    </xf>
  </cellStyleXfs>
  <cellXfs count="85">
    <xf numFmtId="0" fontId="0" fillId="0" borderId="0" xfId="0"/>
    <xf numFmtId="0" fontId="2" fillId="0" borderId="0" xfId="0" applyFont="1"/>
    <xf numFmtId="0" fontId="5" fillId="0" borderId="0" xfId="0" applyFont="1"/>
    <xf numFmtId="0" fontId="10" fillId="0" borderId="0" xfId="0" applyFont="1"/>
    <xf numFmtId="0" fontId="3" fillId="0" borderId="0" xfId="0" applyFont="1"/>
    <xf numFmtId="0" fontId="9" fillId="0" borderId="0" xfId="0" applyFont="1"/>
    <xf numFmtId="0" fontId="5" fillId="0" borderId="12" xfId="0" applyFont="1" applyBorder="1"/>
    <xf numFmtId="0" fontId="10" fillId="0" borderId="12" xfId="0" applyFont="1" applyBorder="1"/>
    <xf numFmtId="0" fontId="5" fillId="0" borderId="13" xfId="0" applyFont="1" applyBorder="1"/>
    <xf numFmtId="0" fontId="4" fillId="34" borderId="11" xfId="0" applyFont="1" applyFill="1" applyBorder="1"/>
    <xf numFmtId="0" fontId="4" fillId="34" borderId="12" xfId="0" applyFont="1" applyFill="1" applyBorder="1"/>
    <xf numFmtId="0" fontId="0" fillId="34" borderId="15" xfId="0" applyFill="1" applyBorder="1"/>
    <xf numFmtId="0" fontId="0" fillId="34" borderId="16" xfId="0" applyFill="1" applyBorder="1"/>
    <xf numFmtId="0" fontId="8" fillId="0" borderId="17" xfId="0" applyFont="1" applyBorder="1"/>
    <xf numFmtId="0" fontId="28" fillId="0" borderId="17" xfId="0" applyFont="1" applyBorder="1"/>
    <xf numFmtId="0" fontId="0" fillId="0" borderId="18" xfId="0" applyBorder="1"/>
    <xf numFmtId="0" fontId="10" fillId="0" borderId="18" xfId="0" applyFont="1" applyBorder="1"/>
    <xf numFmtId="0" fontId="0" fillId="34" borderId="18" xfId="0" applyFill="1" applyBorder="1"/>
    <xf numFmtId="0" fontId="0" fillId="34" borderId="0" xfId="0" applyFill="1"/>
    <xf numFmtId="0" fontId="8" fillId="2" borderId="17" xfId="0" applyFont="1" applyFill="1" applyBorder="1"/>
    <xf numFmtId="0" fontId="0" fillId="0" borderId="21" xfId="0" applyBorder="1"/>
    <xf numFmtId="0" fontId="8" fillId="34" borderId="23" xfId="0" applyFont="1" applyFill="1" applyBorder="1" applyAlignment="1">
      <alignment horizontal="center" vertical="center"/>
    </xf>
    <xf numFmtId="0" fontId="8" fillId="34" borderId="24" xfId="0" applyFont="1" applyFill="1" applyBorder="1" applyAlignment="1">
      <alignment horizontal="center" vertical="center"/>
    </xf>
    <xf numFmtId="49" fontId="6" fillId="0" borderId="25" xfId="0" applyNumberFormat="1" applyFont="1" applyBorder="1" applyAlignment="1">
      <alignment horizontal="center"/>
    </xf>
    <xf numFmtId="49" fontId="6" fillId="0" borderId="27" xfId="0" applyNumberFormat="1" applyFont="1" applyBorder="1" applyAlignment="1">
      <alignment horizontal="center"/>
    </xf>
    <xf numFmtId="0" fontId="0" fillId="0" borderId="16" xfId="0" applyBorder="1"/>
    <xf numFmtId="0" fontId="29" fillId="0" borderId="0" xfId="0" applyFont="1"/>
    <xf numFmtId="0" fontId="29" fillId="0" borderId="20" xfId="0" applyFont="1" applyBorder="1"/>
    <xf numFmtId="0" fontId="29" fillId="0" borderId="18" xfId="0" applyFont="1" applyBorder="1"/>
    <xf numFmtId="0" fontId="28" fillId="0" borderId="18" xfId="0" applyFont="1" applyBorder="1"/>
    <xf numFmtId="0" fontId="30" fillId="0" borderId="18" xfId="0" applyFont="1" applyBorder="1"/>
    <xf numFmtId="0" fontId="28" fillId="34" borderId="18" xfId="0" applyFont="1" applyFill="1" applyBorder="1"/>
    <xf numFmtId="49" fontId="5" fillId="0" borderId="25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31" fillId="0" borderId="17" xfId="0" applyFont="1" applyBorder="1"/>
    <xf numFmtId="0" fontId="32" fillId="0" borderId="0" xfId="0" applyFont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2" borderId="1" xfId="0" applyNumberFormat="1" applyFont="1" applyFill="1" applyBorder="1" applyAlignment="1">
      <alignment horizontal="center" vertical="center"/>
    </xf>
    <xf numFmtId="0" fontId="8" fillId="34" borderId="17" xfId="0" applyFont="1" applyFill="1" applyBorder="1"/>
    <xf numFmtId="0" fontId="32" fillId="34" borderId="0" xfId="0" applyFont="1" applyFill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8" fillId="34" borderId="14" xfId="0" applyFont="1" applyFill="1" applyBorder="1"/>
    <xf numFmtId="0" fontId="8" fillId="0" borderId="19" xfId="0" applyFont="1" applyBorder="1"/>
    <xf numFmtId="178" fontId="9" fillId="0" borderId="22" xfId="0" applyNumberFormat="1" applyFont="1" applyBorder="1"/>
    <xf numFmtId="178" fontId="7" fillId="0" borderId="22" xfId="0" applyNumberFormat="1" applyFont="1" applyBorder="1"/>
    <xf numFmtId="177" fontId="6" fillId="0" borderId="22" xfId="0" applyNumberFormat="1" applyFont="1" applyBorder="1"/>
    <xf numFmtId="177" fontId="7" fillId="0" borderId="22" xfId="0" applyNumberFormat="1" applyFont="1" applyBorder="1"/>
    <xf numFmtId="0" fontId="6" fillId="35" borderId="22" xfId="0" applyFont="1" applyFill="1" applyBorder="1" applyAlignment="1">
      <alignment horizontal="center" vertical="center"/>
    </xf>
    <xf numFmtId="4" fontId="6" fillId="35" borderId="22" xfId="0" applyNumberFormat="1" applyFont="1" applyFill="1" applyBorder="1"/>
    <xf numFmtId="3" fontId="6" fillId="35" borderId="22" xfId="0" applyNumberFormat="1" applyFont="1" applyFill="1" applyBorder="1"/>
    <xf numFmtId="177" fontId="6" fillId="35" borderId="22" xfId="0" applyNumberFormat="1" applyFont="1" applyFill="1" applyBorder="1"/>
    <xf numFmtId="178" fontId="6" fillId="35" borderId="22" xfId="0" applyNumberFormat="1" applyFont="1" applyFill="1" applyBorder="1"/>
    <xf numFmtId="0" fontId="6" fillId="35" borderId="25" xfId="0" applyFont="1" applyFill="1" applyBorder="1"/>
    <xf numFmtId="178" fontId="7" fillId="0" borderId="26" xfId="0" applyNumberFormat="1" applyFont="1" applyBorder="1"/>
    <xf numFmtId="0" fontId="8" fillId="34" borderId="27" xfId="0" applyFont="1" applyFill="1" applyBorder="1"/>
    <xf numFmtId="0" fontId="0" fillId="34" borderId="28" xfId="0" applyFill="1" applyBorder="1"/>
    <xf numFmtId="3" fontId="8" fillId="34" borderId="28" xfId="0" applyNumberFormat="1" applyFont="1" applyFill="1" applyBorder="1"/>
    <xf numFmtId="177" fontId="8" fillId="34" borderId="28" xfId="0" applyNumberFormat="1" applyFont="1" applyFill="1" applyBorder="1"/>
    <xf numFmtId="178" fontId="8" fillId="34" borderId="28" xfId="0" applyNumberFormat="1" applyFont="1" applyFill="1" applyBorder="1"/>
    <xf numFmtId="178" fontId="8" fillId="34" borderId="29" xfId="0" applyNumberFormat="1" applyFont="1" applyFill="1" applyBorder="1"/>
    <xf numFmtId="0" fontId="6" fillId="35" borderId="30" xfId="0" applyFont="1" applyFill="1" applyBorder="1"/>
    <xf numFmtId="0" fontId="6" fillId="35" borderId="31" xfId="0" applyFont="1" applyFill="1" applyBorder="1" applyAlignment="1">
      <alignment horizontal="center" vertical="center"/>
    </xf>
    <xf numFmtId="4" fontId="6" fillId="35" borderId="31" xfId="0" applyNumberFormat="1" applyFont="1" applyFill="1" applyBorder="1"/>
    <xf numFmtId="178" fontId="6" fillId="35" borderId="31" xfId="0" applyNumberFormat="1" applyFont="1" applyFill="1" applyBorder="1"/>
    <xf numFmtId="3" fontId="6" fillId="35" borderId="31" xfId="0" applyNumberFormat="1" applyFont="1" applyFill="1" applyBorder="1"/>
    <xf numFmtId="178" fontId="9" fillId="0" borderId="31" xfId="0" applyNumberFormat="1" applyFont="1" applyBorder="1"/>
    <xf numFmtId="177" fontId="6" fillId="0" borderId="31" xfId="0" applyNumberFormat="1" applyFont="1" applyBorder="1"/>
    <xf numFmtId="178" fontId="7" fillId="0" borderId="31" xfId="0" applyNumberFormat="1" applyFont="1" applyBorder="1"/>
    <xf numFmtId="177" fontId="7" fillId="0" borderId="31" xfId="0" applyNumberFormat="1" applyFont="1" applyBorder="1"/>
    <xf numFmtId="178" fontId="7" fillId="0" borderId="32" xfId="0" applyNumberFormat="1" applyFont="1" applyBorder="1"/>
    <xf numFmtId="0" fontId="8" fillId="34" borderId="33" xfId="0" applyFont="1" applyFill="1" applyBorder="1" applyAlignment="1">
      <alignment horizontal="center" vertical="center" wrapText="1"/>
    </xf>
    <xf numFmtId="0" fontId="8" fillId="34" borderId="34" xfId="0" applyFont="1" applyFill="1" applyBorder="1" applyAlignment="1">
      <alignment horizontal="center" vertical="center" wrapText="1"/>
    </xf>
    <xf numFmtId="0" fontId="8" fillId="34" borderId="35" xfId="0" applyFont="1" applyFill="1" applyBorder="1" applyAlignment="1">
      <alignment horizontal="center" vertical="center" wrapText="1"/>
    </xf>
    <xf numFmtId="177" fontId="6" fillId="35" borderId="31" xfId="0" applyNumberFormat="1" applyFont="1" applyFill="1" applyBorder="1"/>
    <xf numFmtId="0" fontId="6" fillId="35" borderId="38" xfId="0" applyFont="1" applyFill="1" applyBorder="1"/>
    <xf numFmtId="0" fontId="8" fillId="34" borderId="39" xfId="0" applyFont="1" applyFill="1" applyBorder="1"/>
    <xf numFmtId="0" fontId="6" fillId="35" borderId="37" xfId="0" applyFont="1" applyFill="1" applyBorder="1"/>
    <xf numFmtId="179" fontId="6" fillId="0" borderId="28" xfId="0" applyNumberFormat="1" applyFont="1" applyBorder="1"/>
    <xf numFmtId="179" fontId="6" fillId="0" borderId="22" xfId="0" applyNumberFormat="1" applyFont="1" applyBorder="1"/>
    <xf numFmtId="179" fontId="33" fillId="0" borderId="22" xfId="41" applyNumberFormat="1" applyFont="1" applyBorder="1" applyAlignment="1">
      <alignment horizontal="center" vertical="center" wrapText="1"/>
    </xf>
    <xf numFmtId="0" fontId="8" fillId="34" borderId="36" xfId="0" applyFont="1" applyFill="1" applyBorder="1" applyAlignment="1">
      <alignment horizontal="center" vertical="center" wrapText="1"/>
    </xf>
  </cellXfs>
  <cellStyles count="43">
    <cellStyle name="20% - 강조색1" xfId="18" builtinId="30" customBuiltin="1"/>
    <cellStyle name="20% - 강조색2" xfId="22" builtinId="34" customBuiltin="1"/>
    <cellStyle name="20% - 강조색3" xfId="26" builtinId="38" customBuiltin="1"/>
    <cellStyle name="20% - 강조색4" xfId="30" builtinId="42" customBuiltin="1"/>
    <cellStyle name="20% - 강조색5" xfId="34" builtinId="46" customBuiltin="1"/>
    <cellStyle name="20% - 강조색6" xfId="38" builtinId="50" customBuiltin="1"/>
    <cellStyle name="40% - 강조색1" xfId="19" builtinId="31" customBuiltin="1"/>
    <cellStyle name="40% - 강조색2" xfId="23" builtinId="35" customBuiltin="1"/>
    <cellStyle name="40% - 강조색3" xfId="27" builtinId="39" customBuiltin="1"/>
    <cellStyle name="40% - 강조색4" xfId="31" builtinId="43" customBuiltin="1"/>
    <cellStyle name="40% - 강조색5" xfId="35" builtinId="47" customBuiltin="1"/>
    <cellStyle name="40% - 강조색6" xfId="39" builtinId="51" customBuiltin="1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2" xfId="42" xr:uid="{97B60EE5-3C84-4BFF-886F-EA9303DBE862}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1" xr:uid="{2A16E7E4-581B-4CC7-A253-0BD4FB1E5E8F}"/>
  </cellStyles>
  <dxfs count="2">
    <dxf>
      <font>
        <sz val="10"/>
        <color rgb="FFC55A11"/>
        <name val="맑은 고딕"/>
      </font>
    </dxf>
    <dxf>
      <font>
        <b/>
        <sz val="10"/>
        <color rgb="FF9C0006"/>
        <name val="맑은 고딕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USD / </a:t>
            </a:r>
            <a:r>
              <a:rPr lang="ko-KR" altLang="en-US"/>
              <a:t>원 월평균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월평균환율!$C$5</c:f>
              <c:strCache>
                <c:ptCount val="1"/>
                <c:pt idx="0">
                  <c:v>USD / 원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월평균환율!$B$6:$B$17</c:f>
              <c:strCache>
                <c:ptCount val="12"/>
                <c:pt idx="0">
                  <c:v>2026-03</c:v>
                </c:pt>
                <c:pt idx="1">
                  <c:v>2026-02</c:v>
                </c:pt>
                <c:pt idx="2">
                  <c:v>2026-01</c:v>
                </c:pt>
                <c:pt idx="3">
                  <c:v>2026-00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월평균환율!$C$6:$C$17</c:f>
              <c:numCache>
                <c:formatCode>0.00_);[Red]\(0.00\)</c:formatCode>
                <c:ptCount val="12"/>
                <c:pt idx="0">
                  <c:v>1391.83</c:v>
                </c:pt>
                <c:pt idx="1">
                  <c:v>1423.36</c:v>
                </c:pt>
                <c:pt idx="2">
                  <c:v>1457.77</c:v>
                </c:pt>
                <c:pt idx="3">
                  <c:v>1467.4</c:v>
                </c:pt>
                <c:pt idx="4">
                  <c:v>1456.51</c:v>
                </c:pt>
                <c:pt idx="5">
                  <c:v>1449.32</c:v>
                </c:pt>
                <c:pt idx="6">
                  <c:v>1486.64</c:v>
                </c:pt>
                <c:pt idx="7">
                  <c:v>1487.39</c:v>
                </c:pt>
                <c:pt idx="8">
                  <c:v>1490.11</c:v>
                </c:pt>
                <c:pt idx="9">
                  <c:v>1527.3</c:v>
                </c:pt>
                <c:pt idx="10">
                  <c:v>1497.43</c:v>
                </c:pt>
                <c:pt idx="11">
                  <c:v>1406.3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15-49D7-9CF7-CE574EC2E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_);[Red]\(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CNY / </a:t>
            </a:r>
            <a:r>
              <a:rPr lang="ko-KR" altLang="en-US"/>
              <a:t>원 월평균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월평균환율!$D$5</c:f>
              <c:strCache>
                <c:ptCount val="1"/>
                <c:pt idx="0">
                  <c:v>CNY / 원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월평균환율!$B$6:$B$17</c:f>
              <c:strCache>
                <c:ptCount val="12"/>
                <c:pt idx="0">
                  <c:v>2026-03</c:v>
                </c:pt>
                <c:pt idx="1">
                  <c:v>2026-02</c:v>
                </c:pt>
                <c:pt idx="2">
                  <c:v>2026-01</c:v>
                </c:pt>
                <c:pt idx="3">
                  <c:v>2026-00</c:v>
                </c:pt>
                <c:pt idx="4">
                  <c:v>2026-01</c:v>
                </c:pt>
                <c:pt idx="5">
                  <c:v>2026-02</c:v>
                </c:pt>
                <c:pt idx="6">
                  <c:v>2026-03</c:v>
                </c:pt>
                <c:pt idx="7">
                  <c:v>2026-04</c:v>
                </c:pt>
                <c:pt idx="8">
                  <c:v>2026-05</c:v>
                </c:pt>
                <c:pt idx="9">
                  <c:v>2026-06</c:v>
                </c:pt>
                <c:pt idx="10">
                  <c:v>2026-07</c:v>
                </c:pt>
                <c:pt idx="11">
                  <c:v>2026-08</c:v>
                </c:pt>
              </c:strCache>
            </c:strRef>
          </c:cat>
          <c:val>
            <c:numRef>
              <c:f>월평균환율!$D$6:$D$17</c:f>
              <c:numCache>
                <c:formatCode>0.00_);[Red]\(0.00\)</c:formatCode>
                <c:ptCount val="12"/>
                <c:pt idx="0">
                  <c:v>195.36</c:v>
                </c:pt>
                <c:pt idx="1">
                  <c:v>199.82</c:v>
                </c:pt>
                <c:pt idx="2">
                  <c:v>205.04</c:v>
                </c:pt>
                <c:pt idx="3">
                  <c:v>208.26</c:v>
                </c:pt>
                <c:pt idx="4">
                  <c:v>209.08</c:v>
                </c:pt>
                <c:pt idx="5">
                  <c:v>209.73</c:v>
                </c:pt>
                <c:pt idx="6">
                  <c:v>215.65</c:v>
                </c:pt>
                <c:pt idx="7">
                  <c:v>217.41</c:v>
                </c:pt>
                <c:pt idx="8">
                  <c:v>219.11</c:v>
                </c:pt>
                <c:pt idx="9">
                  <c:v>225.51</c:v>
                </c:pt>
                <c:pt idx="10">
                  <c:v>220.94</c:v>
                </c:pt>
                <c:pt idx="11">
                  <c:v>208.69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6D-4BB1-BBCF-B9277551F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_);[Red]\(0.00\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529590</xdr:colOff>
      <xdr:row>4</xdr:row>
      <xdr:rowOff>197433</xdr:rowOff>
    </xdr:from>
    <xdr:ext cx="5271135" cy="515752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6270172</xdr:colOff>
      <xdr:row>4</xdr:row>
      <xdr:rowOff>191718</xdr:rowOff>
    </xdr:from>
    <xdr:ext cx="5271135" cy="5157522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1:O51"/>
  <sheetViews>
    <sheetView showGridLines="0" zoomScale="85" zoomScaleNormal="85" workbookViewId="0">
      <selection activeCell="A5" sqref="A5:XFD5"/>
    </sheetView>
  </sheetViews>
  <sheetFormatPr defaultRowHeight="17.399999999999999"/>
  <cols>
    <col min="1" max="1" width="3.69921875" customWidth="1"/>
    <col min="2" max="2" width="39.19921875" customWidth="1"/>
    <col min="3" max="3" width="22.59765625" customWidth="1"/>
    <col min="4" max="4" width="8" customWidth="1"/>
    <col min="5" max="5" width="12" customWidth="1"/>
    <col min="6" max="6" width="9" customWidth="1"/>
    <col min="7" max="7" width="13" customWidth="1"/>
    <col min="8" max="8" width="12" customWidth="1"/>
    <col min="9" max="9" width="9" customWidth="1"/>
    <col min="10" max="10" width="12.796875" customWidth="1"/>
    <col min="11" max="11" width="11.5" customWidth="1"/>
    <col min="12" max="12" width="12" customWidth="1"/>
    <col min="13" max="13" width="9" customWidth="1"/>
    <col min="14" max="15" width="15" customWidth="1"/>
  </cols>
  <sheetData>
    <row r="1" spans="2:15" ht="15" customHeight="1"/>
    <row r="2" spans="2:15" ht="21">
      <c r="B2" s="1" t="s">
        <v>112</v>
      </c>
      <c r="C2" s="1"/>
    </row>
    <row r="3" spans="2:15">
      <c r="B3" s="5" t="str">
        <f ca="1">" 적용 환율: "&amp;설정!$C$8&amp;"  ·  USD "&amp;TEXT(설정!$C$11,"#,##0.00")&amp;"  ·  CNY "&amp;TEXT(설정!$C$12,"#,##0.00")&amp;"  ·  부대비용 "&amp;TEXT(설정!$C$17,"0.0%")&amp;"  ·  "&amp;설정!$C$19&amp;" "&amp;TEXT(설정!$C$18,"0.0%")</f>
        <v xml:space="preserve"> 적용 환율: 2026-08  ·  USD 1,406.30  ·  CNY 208.69  ·  부대비용 10.0%  ·  판매가 마진 30.0%</v>
      </c>
      <c r="C3" s="5"/>
    </row>
    <row r="4" spans="2:15" ht="18" thickBot="1"/>
    <row r="5" spans="2:15" ht="34.950000000000003" customHeight="1" thickBot="1">
      <c r="B5" s="74" t="s">
        <v>113</v>
      </c>
      <c r="C5" s="84" t="s">
        <v>163</v>
      </c>
      <c r="D5" s="75" t="s">
        <v>114</v>
      </c>
      <c r="E5" s="75" t="s">
        <v>115</v>
      </c>
      <c r="F5" s="75" t="s">
        <v>116</v>
      </c>
      <c r="G5" s="75" t="s">
        <v>117</v>
      </c>
      <c r="H5" s="75" t="s">
        <v>151</v>
      </c>
      <c r="I5" s="75" t="s">
        <v>74</v>
      </c>
      <c r="J5" s="75" t="s">
        <v>118</v>
      </c>
      <c r="K5" s="75" t="s">
        <v>152</v>
      </c>
      <c r="L5" s="75" t="s">
        <v>119</v>
      </c>
      <c r="M5" s="75" t="s">
        <v>120</v>
      </c>
      <c r="N5" s="75" t="s">
        <v>121</v>
      </c>
      <c r="O5" s="76" t="s">
        <v>122</v>
      </c>
    </row>
    <row r="6" spans="2:15" ht="18" thickTop="1">
      <c r="B6" s="64" t="s">
        <v>156</v>
      </c>
      <c r="C6" s="80" t="s">
        <v>164</v>
      </c>
      <c r="D6" s="65" t="s">
        <v>123</v>
      </c>
      <c r="E6" s="66">
        <v>7.5</v>
      </c>
      <c r="F6" s="68">
        <v>282</v>
      </c>
      <c r="G6" s="69">
        <f ca="1">IF(N($E6)=0,"",$E6*IF($D6="USD",설정!$C$11,IF($D6="CNY",설정!$C$12,1)))</f>
        <v>10547.25</v>
      </c>
      <c r="H6" s="71">
        <f ca="1">IF($G6="","",$G6*(1+설정!$C$17))</f>
        <v>11601.975</v>
      </c>
      <c r="I6" s="77"/>
      <c r="J6" s="72">
        <f ca="1">IF($G6="","",IF($I6="",설정!$C$18,$I6))</f>
        <v>0.3</v>
      </c>
      <c r="K6" s="71">
        <f ca="1">IF($H6="","",IFERROR(IF(설정!$C$20&lt;=1,ROUND(IF(설정!$C$19="판매가 마진",$H6/(1-$J6),$H6*(1+$J6)),0),CEILING(IF(설정!$C$19="판매가 마진",$H6/(1-$J6),$H6*(1+$J6)),설정!$C$20)),0))</f>
        <v>16600</v>
      </c>
      <c r="L6" s="71">
        <f t="shared" ref="L6:L45" ca="1" si="0">IF($K6="","",$K6-$H6)</f>
        <v>4998.0249999999996</v>
      </c>
      <c r="M6" s="72">
        <f t="shared" ref="M6:M45" ca="1" si="1">IF(N($K6)=0,"",$L6/$K6)</f>
        <v>0.30108584337349398</v>
      </c>
      <c r="N6" s="71">
        <f t="shared" ref="N6:N45" ca="1" si="2">IF($K6="","",$K6*$F6)</f>
        <v>4681200</v>
      </c>
      <c r="O6" s="73">
        <f t="shared" ref="O6:O45" ca="1" si="3">IF($H6="","",$H6*$F6)</f>
        <v>3271756.95</v>
      </c>
    </row>
    <row r="7" spans="2:15">
      <c r="B7" s="56" t="s">
        <v>157</v>
      </c>
      <c r="C7" s="78" t="s">
        <v>165</v>
      </c>
      <c r="D7" s="51" t="s">
        <v>123</v>
      </c>
      <c r="E7" s="52">
        <v>8.1999999999999993</v>
      </c>
      <c r="F7" s="53">
        <v>5</v>
      </c>
      <c r="G7" s="47">
        <f ca="1">IF(N($E7)=0,"",$E7*IF($D7="USD",설정!$C$11,IF($D7="CNY",설정!$C$12,1)))</f>
        <v>11531.659999999998</v>
      </c>
      <c r="H7" s="48">
        <f ca="1">IF($G7="","",$G7*(1+설정!$C$17))</f>
        <v>12684.825999999999</v>
      </c>
      <c r="I7" s="54"/>
      <c r="J7" s="50">
        <f ca="1">IF($G7="","",IF($I7="",설정!$C$18,$I7))</f>
        <v>0.3</v>
      </c>
      <c r="K7" s="48">
        <f ca="1">IF($H7="","",IFERROR(IF(설정!$C$20&lt;=1,ROUND(IF(설정!$C$19="판매가 마진",$H7/(1-$J7),$H7*(1+$J7)),0),CEILING(IF(설정!$C$19="판매가 마진",$H7/(1-$J7),$H7*(1+$J7)),설정!$C$20)),0))</f>
        <v>18200</v>
      </c>
      <c r="L7" s="48">
        <f t="shared" ca="1" si="0"/>
        <v>5515.1740000000009</v>
      </c>
      <c r="M7" s="50">
        <f t="shared" ca="1" si="1"/>
        <v>0.30303153846153852</v>
      </c>
      <c r="N7" s="48">
        <f t="shared" ca="1" si="2"/>
        <v>91000</v>
      </c>
      <c r="O7" s="57">
        <f t="shared" ca="1" si="3"/>
        <v>63424.13</v>
      </c>
    </row>
    <row r="8" spans="2:15">
      <c r="B8" s="56" t="s">
        <v>158</v>
      </c>
      <c r="C8" s="78" t="s">
        <v>166</v>
      </c>
      <c r="D8" s="51" t="s">
        <v>123</v>
      </c>
      <c r="E8" s="52">
        <v>9.9</v>
      </c>
      <c r="F8" s="53">
        <v>418</v>
      </c>
      <c r="G8" s="47">
        <f ca="1">IF(N($E8)=0,"",$E8*IF($D8="USD",설정!$C$11,IF($D8="CNY",설정!$C$12,1)))</f>
        <v>13922.37</v>
      </c>
      <c r="H8" s="48">
        <f ca="1">IF($G8="","",$G8*(1+설정!$C$17))</f>
        <v>15314.607000000002</v>
      </c>
      <c r="I8" s="54"/>
      <c r="J8" s="50">
        <f ca="1">IF($G8="","",IF($I8="",설정!$C$18,$I8))</f>
        <v>0.3</v>
      </c>
      <c r="K8" s="48">
        <f ca="1">IF($H8="","",IFERROR(IF(설정!$C$20&lt;=1,ROUND(IF(설정!$C$19="판매가 마진",$H8/(1-$J8),$H8*(1+$J8)),0),CEILING(IF(설정!$C$19="판매가 마진",$H8/(1-$J8),$H8*(1+$J8)),설정!$C$20)),0))</f>
        <v>21900</v>
      </c>
      <c r="L8" s="48">
        <f t="shared" ca="1" si="0"/>
        <v>6585.3929999999982</v>
      </c>
      <c r="M8" s="50">
        <f t="shared" ca="1" si="1"/>
        <v>0.3007028767123287</v>
      </c>
      <c r="N8" s="48">
        <f t="shared" ca="1" si="2"/>
        <v>9154200</v>
      </c>
      <c r="O8" s="57">
        <f t="shared" ca="1" si="3"/>
        <v>6401505.7260000007</v>
      </c>
    </row>
    <row r="9" spans="2:15">
      <c r="B9" s="56" t="s">
        <v>159</v>
      </c>
      <c r="C9" s="78" t="s">
        <v>167</v>
      </c>
      <c r="D9" s="51" t="s">
        <v>123</v>
      </c>
      <c r="E9" s="52">
        <v>8</v>
      </c>
      <c r="F9" s="53">
        <v>178</v>
      </c>
      <c r="G9" s="47">
        <f ca="1">IF(N($E9)=0,"",$E9*IF($D9="USD",설정!$C$11,IF($D9="CNY",설정!$C$12,1)))</f>
        <v>11250.4</v>
      </c>
      <c r="H9" s="48">
        <f ca="1">IF($G9="","",$G9*(1+설정!$C$17))</f>
        <v>12375.44</v>
      </c>
      <c r="I9" s="54"/>
      <c r="J9" s="50">
        <f ca="1">IF($G9="","",IF($I9="",설정!$C$18,$I9))</f>
        <v>0.3</v>
      </c>
      <c r="K9" s="48">
        <f ca="1">IF($H9="","",IFERROR(IF(설정!$C$20&lt;=1,ROUND(IF(설정!$C$19="판매가 마진",$H9/(1-$J9),$H9*(1+$J9)),0),CEILING(IF(설정!$C$19="판매가 마진",$H9/(1-$J9),$H9*(1+$J9)),설정!$C$20)),0))</f>
        <v>17700</v>
      </c>
      <c r="L9" s="48">
        <f t="shared" ca="1" si="0"/>
        <v>5324.5599999999995</v>
      </c>
      <c r="M9" s="50">
        <f t="shared" ca="1" si="1"/>
        <v>0.30082259887005647</v>
      </c>
      <c r="N9" s="48">
        <f t="shared" ca="1" si="2"/>
        <v>3150600</v>
      </c>
      <c r="O9" s="57">
        <f t="shared" ca="1" si="3"/>
        <v>2202828.3200000003</v>
      </c>
    </row>
    <row r="10" spans="2:15">
      <c r="B10" s="56" t="s">
        <v>160</v>
      </c>
      <c r="C10" s="78" t="s">
        <v>168</v>
      </c>
      <c r="D10" s="51" t="s">
        <v>123</v>
      </c>
      <c r="E10" s="52">
        <v>8.8000000000000007</v>
      </c>
      <c r="F10" s="53">
        <v>120</v>
      </c>
      <c r="G10" s="47">
        <f ca="1">IF(N($E10)=0,"",$E10*IF($D10="USD",설정!$C$11,IF($D10="CNY",설정!$C$12,1)))</f>
        <v>12375.44</v>
      </c>
      <c r="H10" s="48">
        <f ca="1">IF($G10="","",$G10*(1+설정!$C$17))</f>
        <v>13612.984000000002</v>
      </c>
      <c r="I10" s="54"/>
      <c r="J10" s="50">
        <f ca="1">IF($G10="","",IF($I10="",설정!$C$18,$I10))</f>
        <v>0.3</v>
      </c>
      <c r="K10" s="48">
        <f ca="1">IF($H10="","",IFERROR(IF(설정!$C$20&lt;=1,ROUND(IF(설정!$C$19="판매가 마진",$H10/(1-$J10),$H10*(1+$J10)),0),CEILING(IF(설정!$C$19="판매가 마진",$H10/(1-$J10),$H10*(1+$J10)),설정!$C$20)),0))</f>
        <v>19500</v>
      </c>
      <c r="L10" s="48">
        <f t="shared" ca="1" si="0"/>
        <v>5887.0159999999978</v>
      </c>
      <c r="M10" s="50">
        <f t="shared" ca="1" si="1"/>
        <v>0.3018982564102563</v>
      </c>
      <c r="N10" s="48">
        <f t="shared" ca="1" si="2"/>
        <v>2340000</v>
      </c>
      <c r="O10" s="57">
        <f t="shared" ca="1" si="3"/>
        <v>1633558.0800000003</v>
      </c>
    </row>
    <row r="11" spans="2:15">
      <c r="B11" s="56" t="s">
        <v>161</v>
      </c>
      <c r="C11" s="78" t="s">
        <v>169</v>
      </c>
      <c r="D11" s="51" t="s">
        <v>123</v>
      </c>
      <c r="E11" s="52">
        <v>10.199999999999999</v>
      </c>
      <c r="F11" s="53">
        <v>199</v>
      </c>
      <c r="G11" s="47">
        <f ca="1">IF(N($E11)=0,"",$E11*IF($D11="USD",설정!$C$11,IF($D11="CNY",설정!$C$12,1)))</f>
        <v>14344.259999999998</v>
      </c>
      <c r="H11" s="48">
        <f ca="1">IF($G11="","",$G11*(1+설정!$C$17))</f>
        <v>15778.686</v>
      </c>
      <c r="I11" s="54"/>
      <c r="J11" s="50">
        <f ca="1">IF($G11="","",IF($I11="",설정!$C$18,$I11))</f>
        <v>0.3</v>
      </c>
      <c r="K11" s="48">
        <f ca="1">IF($H11="","",IFERROR(IF(설정!$C$20&lt;=1,ROUND(IF(설정!$C$19="판매가 마진",$H11/(1-$J11),$H11*(1+$J11)),0),CEILING(IF(설정!$C$19="판매가 마진",$H11/(1-$J11),$H11*(1+$J11)),설정!$C$20)),0))</f>
        <v>22600</v>
      </c>
      <c r="L11" s="48">
        <f t="shared" ca="1" si="0"/>
        <v>6821.3140000000003</v>
      </c>
      <c r="M11" s="50">
        <f t="shared" ca="1" si="1"/>
        <v>0.30182805309734517</v>
      </c>
      <c r="N11" s="48">
        <f t="shared" ca="1" si="2"/>
        <v>4497400</v>
      </c>
      <c r="O11" s="57">
        <f t="shared" ca="1" si="3"/>
        <v>3139958.514</v>
      </c>
    </row>
    <row r="12" spans="2:15">
      <c r="B12" s="56" t="s">
        <v>162</v>
      </c>
      <c r="C12" s="78" t="s">
        <v>170</v>
      </c>
      <c r="D12" s="51" t="s">
        <v>123</v>
      </c>
      <c r="E12" s="52">
        <v>8.5</v>
      </c>
      <c r="F12" s="53">
        <v>300</v>
      </c>
      <c r="G12" s="47">
        <f ca="1">IF(N($E12)=0,"",$E12*IF($D12="USD",설정!$C$11,IF($D12="CNY",설정!$C$12,1)))</f>
        <v>11953.55</v>
      </c>
      <c r="H12" s="48">
        <f ca="1">IF($G12="","",$G12*(1+설정!$C$17))</f>
        <v>13148.905000000001</v>
      </c>
      <c r="I12" s="54"/>
      <c r="J12" s="50">
        <f ca="1">IF($G12="","",IF($I12="",설정!$C$18,$I12))</f>
        <v>0.3</v>
      </c>
      <c r="K12" s="48">
        <f ca="1">IF($H12="","",IFERROR(IF(설정!$C$20&lt;=1,ROUND(IF(설정!$C$19="판매가 마진",$H12/(1-$J12),$H12*(1+$J12)),0),CEILING(IF(설정!$C$19="판매가 마진",$H12/(1-$J12),$H12*(1+$J12)),설정!$C$20)),0))</f>
        <v>18800</v>
      </c>
      <c r="L12" s="48">
        <f t="shared" ca="1" si="0"/>
        <v>5651.0949999999993</v>
      </c>
      <c r="M12" s="50">
        <f t="shared" ca="1" si="1"/>
        <v>0.30059015957446805</v>
      </c>
      <c r="N12" s="48">
        <f t="shared" ca="1" si="2"/>
        <v>5640000</v>
      </c>
      <c r="O12" s="57">
        <f t="shared" ca="1" si="3"/>
        <v>3944671.5</v>
      </c>
    </row>
    <row r="13" spans="2:15">
      <c r="B13" s="56"/>
      <c r="C13" s="78"/>
      <c r="D13" s="51"/>
      <c r="E13" s="52"/>
      <c r="F13" s="53"/>
      <c r="G13" s="47" t="str">
        <f>IF(N($E13)=0,"",$E13*IF($D13="USD",설정!$C$11,IF($D13="CNY",설정!$C$12,1)))</f>
        <v/>
      </c>
      <c r="H13" s="48" t="str">
        <f>IF($G13="","",$G13*(1+설정!$C$17))</f>
        <v/>
      </c>
      <c r="I13" s="54"/>
      <c r="J13" s="50" t="str">
        <f>IF($G13="","",IF($I13="",설정!$C$18,$I13))</f>
        <v/>
      </c>
      <c r="K13" s="48" t="str">
        <f>IF($H13="","",IFERROR(IF(설정!$C$20&lt;=1,ROUND(IF(설정!$C$19="판매가 마진",$H13/(1-$J13),$H13*(1+$J13)),0),CEILING(IF(설정!$C$19="판매가 마진",$H13/(1-$J13),$H13*(1+$J13)),설정!$C$20)),0))</f>
        <v/>
      </c>
      <c r="L13" s="48" t="str">
        <f t="shared" si="0"/>
        <v/>
      </c>
      <c r="M13" s="50" t="str">
        <f t="shared" si="1"/>
        <v/>
      </c>
      <c r="N13" s="48" t="str">
        <f t="shared" si="2"/>
        <v/>
      </c>
      <c r="O13" s="57" t="str">
        <f t="shared" si="3"/>
        <v/>
      </c>
    </row>
    <row r="14" spans="2:15">
      <c r="B14" s="56"/>
      <c r="C14" s="78"/>
      <c r="D14" s="51"/>
      <c r="E14" s="52"/>
      <c r="F14" s="53"/>
      <c r="G14" s="47" t="str">
        <f>IF(N($E14)=0,"",$E14*IF($D14="USD",설정!$C$11,IF($D14="CNY",설정!$C$12,1)))</f>
        <v/>
      </c>
      <c r="H14" s="48" t="str">
        <f>IF($G14="","",$G14*(1+설정!$C$17))</f>
        <v/>
      </c>
      <c r="I14" s="54"/>
      <c r="J14" s="50" t="str">
        <f>IF($G14="","",IF($I14="",설정!$C$18,$I14))</f>
        <v/>
      </c>
      <c r="K14" s="48" t="str">
        <f>IF($H14="","",IFERROR(IF(설정!$C$20&lt;=1,ROUND(IF(설정!$C$19="판매가 마진",$H14/(1-$J14),$H14*(1+$J14)),0),CEILING(IF(설정!$C$19="판매가 마진",$H14/(1-$J14),$H14*(1+$J14)),설정!$C$20)),0))</f>
        <v/>
      </c>
      <c r="L14" s="48" t="str">
        <f t="shared" si="0"/>
        <v/>
      </c>
      <c r="M14" s="50" t="str">
        <f t="shared" si="1"/>
        <v/>
      </c>
      <c r="N14" s="48" t="str">
        <f t="shared" si="2"/>
        <v/>
      </c>
      <c r="O14" s="57" t="str">
        <f t="shared" si="3"/>
        <v/>
      </c>
    </row>
    <row r="15" spans="2:15">
      <c r="B15" s="56"/>
      <c r="C15" s="78"/>
      <c r="D15" s="51"/>
      <c r="E15" s="52"/>
      <c r="F15" s="53"/>
      <c r="G15" s="47" t="str">
        <f>IF(N($E15)=0,"",$E15*IF($D15="USD",설정!$C$11,IF($D15="CNY",설정!$C$12,1)))</f>
        <v/>
      </c>
      <c r="H15" s="48" t="str">
        <f>IF($G15="","",$G15*(1+설정!$C$17))</f>
        <v/>
      </c>
      <c r="I15" s="54"/>
      <c r="J15" s="50" t="str">
        <f>IF($G15="","",IF($I15="",설정!$C$18,$I15))</f>
        <v/>
      </c>
      <c r="K15" s="48" t="str">
        <f>IF($H15="","",IFERROR(IF(설정!$C$20&lt;=1,ROUND(IF(설정!$C$19="판매가 마진",$H15/(1-$J15),$H15*(1+$J15)),0),CEILING(IF(설정!$C$19="판매가 마진",$H15/(1-$J15),$H15*(1+$J15)),설정!$C$20)),0))</f>
        <v/>
      </c>
      <c r="L15" s="48" t="str">
        <f t="shared" si="0"/>
        <v/>
      </c>
      <c r="M15" s="50" t="str">
        <f t="shared" si="1"/>
        <v/>
      </c>
      <c r="N15" s="48" t="str">
        <f t="shared" si="2"/>
        <v/>
      </c>
      <c r="O15" s="57" t="str">
        <f t="shared" si="3"/>
        <v/>
      </c>
    </row>
    <row r="16" spans="2:15">
      <c r="B16" s="56"/>
      <c r="C16" s="78"/>
      <c r="D16" s="51"/>
      <c r="E16" s="52"/>
      <c r="F16" s="53"/>
      <c r="G16" s="47" t="str">
        <f>IF(N($E16)=0,"",$E16*IF($D16="USD",설정!$C$11,IF($D16="CNY",설정!$C$12,1)))</f>
        <v/>
      </c>
      <c r="H16" s="48" t="str">
        <f>IF($G16="","",$G16*(1+설정!$C$17))</f>
        <v/>
      </c>
      <c r="I16" s="54"/>
      <c r="J16" s="50" t="str">
        <f>IF($G16="","",IF($I16="",설정!$C$18,$I16))</f>
        <v/>
      </c>
      <c r="K16" s="48" t="str">
        <f>IF($H16="","",IFERROR(IF(설정!$C$20&lt;=1,ROUND(IF(설정!$C$19="판매가 마진",$H16/(1-$J16),$H16*(1+$J16)),0),CEILING(IF(설정!$C$19="판매가 마진",$H16/(1-$J16),$H16*(1+$J16)),설정!$C$20)),0))</f>
        <v/>
      </c>
      <c r="L16" s="48" t="str">
        <f t="shared" si="0"/>
        <v/>
      </c>
      <c r="M16" s="50" t="str">
        <f t="shared" si="1"/>
        <v/>
      </c>
      <c r="N16" s="48" t="str">
        <f t="shared" si="2"/>
        <v/>
      </c>
      <c r="O16" s="57" t="str">
        <f t="shared" si="3"/>
        <v/>
      </c>
    </row>
    <row r="17" spans="2:15">
      <c r="B17" s="56"/>
      <c r="C17" s="78"/>
      <c r="D17" s="51"/>
      <c r="E17" s="52"/>
      <c r="F17" s="53"/>
      <c r="G17" s="47" t="str">
        <f>IF(N($E17)=0,"",$E17*IF($D17="USD",설정!$C$11,IF($D17="CNY",설정!$C$12,1)))</f>
        <v/>
      </c>
      <c r="H17" s="48" t="str">
        <f>IF($G17="","",$G17*(1+설정!$C$17))</f>
        <v/>
      </c>
      <c r="I17" s="54"/>
      <c r="J17" s="50" t="str">
        <f>IF($G17="","",IF($I17="",설정!$C$18,$I17))</f>
        <v/>
      </c>
      <c r="K17" s="48" t="str">
        <f>IF($H17="","",IFERROR(IF(설정!$C$20&lt;=1,ROUND(IF(설정!$C$19="판매가 마진",$H17/(1-$J17),$H17*(1+$J17)),0),CEILING(IF(설정!$C$19="판매가 마진",$H17/(1-$J17),$H17*(1+$J17)),설정!$C$20)),0))</f>
        <v/>
      </c>
      <c r="L17" s="48" t="str">
        <f t="shared" si="0"/>
        <v/>
      </c>
      <c r="M17" s="50" t="str">
        <f t="shared" si="1"/>
        <v/>
      </c>
      <c r="N17" s="48" t="str">
        <f t="shared" si="2"/>
        <v/>
      </c>
      <c r="O17" s="57" t="str">
        <f t="shared" si="3"/>
        <v/>
      </c>
    </row>
    <row r="18" spans="2:15">
      <c r="B18" s="56"/>
      <c r="C18" s="78"/>
      <c r="D18" s="51"/>
      <c r="E18" s="52"/>
      <c r="F18" s="53"/>
      <c r="G18" s="47" t="str">
        <f>IF(N($E18)=0,"",$E18*IF($D18="USD",설정!$C$11,IF($D18="CNY",설정!$C$12,1)))</f>
        <v/>
      </c>
      <c r="H18" s="48" t="str">
        <f>IF($G18="","",$G18*(1+설정!$C$17))</f>
        <v/>
      </c>
      <c r="I18" s="54"/>
      <c r="J18" s="50" t="str">
        <f>IF($G18="","",IF($I18="",설정!$C$18,$I18))</f>
        <v/>
      </c>
      <c r="K18" s="48" t="str">
        <f>IF($H18="","",IFERROR(IF(설정!$C$20&lt;=1,ROUND(IF(설정!$C$19="판매가 마진",$H18/(1-$J18),$H18*(1+$J18)),0),CEILING(IF(설정!$C$19="판매가 마진",$H18/(1-$J18),$H18*(1+$J18)),설정!$C$20)),0))</f>
        <v/>
      </c>
      <c r="L18" s="48" t="str">
        <f t="shared" si="0"/>
        <v/>
      </c>
      <c r="M18" s="50" t="str">
        <f t="shared" si="1"/>
        <v/>
      </c>
      <c r="N18" s="48" t="str">
        <f t="shared" si="2"/>
        <v/>
      </c>
      <c r="O18" s="57" t="str">
        <f t="shared" si="3"/>
        <v/>
      </c>
    </row>
    <row r="19" spans="2:15">
      <c r="B19" s="56"/>
      <c r="C19" s="78"/>
      <c r="D19" s="51"/>
      <c r="E19" s="52"/>
      <c r="F19" s="53"/>
      <c r="G19" s="47" t="str">
        <f>IF(N($E19)=0,"",$E19*IF($D19="USD",설정!$C$11,IF($D19="CNY",설정!$C$12,1)))</f>
        <v/>
      </c>
      <c r="H19" s="48" t="str">
        <f>IF($G19="","",$G19*(1+설정!$C$17))</f>
        <v/>
      </c>
      <c r="I19" s="54"/>
      <c r="J19" s="50" t="str">
        <f>IF($G19="","",IF($I19="",설정!$C$18,$I19))</f>
        <v/>
      </c>
      <c r="K19" s="48" t="str">
        <f>IF($H19="","",IFERROR(IF(설정!$C$20&lt;=1,ROUND(IF(설정!$C$19="판매가 마진",$H19/(1-$J19),$H19*(1+$J19)),0),CEILING(IF(설정!$C$19="판매가 마진",$H19/(1-$J19),$H19*(1+$J19)),설정!$C$20)),0))</f>
        <v/>
      </c>
      <c r="L19" s="48" t="str">
        <f t="shared" si="0"/>
        <v/>
      </c>
      <c r="M19" s="50" t="str">
        <f t="shared" si="1"/>
        <v/>
      </c>
      <c r="N19" s="48" t="str">
        <f t="shared" si="2"/>
        <v/>
      </c>
      <c r="O19" s="57" t="str">
        <f t="shared" si="3"/>
        <v/>
      </c>
    </row>
    <row r="20" spans="2:15">
      <c r="B20" s="56"/>
      <c r="C20" s="78"/>
      <c r="D20" s="51"/>
      <c r="E20" s="52"/>
      <c r="F20" s="53"/>
      <c r="G20" s="47" t="str">
        <f>IF(N($E20)=0,"",$E20*IF($D20="USD",설정!$C$11,IF($D20="CNY",설정!$C$12,1)))</f>
        <v/>
      </c>
      <c r="H20" s="48" t="str">
        <f>IF($G20="","",$G20*(1+설정!$C$17))</f>
        <v/>
      </c>
      <c r="I20" s="54"/>
      <c r="J20" s="50" t="str">
        <f>IF($G20="","",IF($I20="",설정!$C$18,$I20))</f>
        <v/>
      </c>
      <c r="K20" s="48" t="str">
        <f>IF($H20="","",IFERROR(IF(설정!$C$20&lt;=1,ROUND(IF(설정!$C$19="판매가 마진",$H20/(1-$J20),$H20*(1+$J20)),0),CEILING(IF(설정!$C$19="판매가 마진",$H20/(1-$J20),$H20*(1+$J20)),설정!$C$20)),0))</f>
        <v/>
      </c>
      <c r="L20" s="48" t="str">
        <f t="shared" si="0"/>
        <v/>
      </c>
      <c r="M20" s="50" t="str">
        <f t="shared" si="1"/>
        <v/>
      </c>
      <c r="N20" s="48" t="str">
        <f t="shared" si="2"/>
        <v/>
      </c>
      <c r="O20" s="57" t="str">
        <f t="shared" si="3"/>
        <v/>
      </c>
    </row>
    <row r="21" spans="2:15">
      <c r="B21" s="56"/>
      <c r="C21" s="78"/>
      <c r="D21" s="51"/>
      <c r="E21" s="52"/>
      <c r="F21" s="53"/>
      <c r="G21" s="47" t="str">
        <f>IF(N($E21)=0,"",$E21*IF($D21="USD",설정!$C$11,IF($D21="CNY",설정!$C$12,1)))</f>
        <v/>
      </c>
      <c r="H21" s="48" t="str">
        <f>IF($G21="","",$G21*(1+설정!$C$17))</f>
        <v/>
      </c>
      <c r="I21" s="54"/>
      <c r="J21" s="50" t="str">
        <f>IF($G21="","",IF($I21="",설정!$C$18,$I21))</f>
        <v/>
      </c>
      <c r="K21" s="48" t="str">
        <f>IF($H21="","",IFERROR(IF(설정!$C$20&lt;=1,ROUND(IF(설정!$C$19="판매가 마진",$H21/(1-$J21),$H21*(1+$J21)),0),CEILING(IF(설정!$C$19="판매가 마진",$H21/(1-$J21),$H21*(1+$J21)),설정!$C$20)),0))</f>
        <v/>
      </c>
      <c r="L21" s="48" t="str">
        <f t="shared" si="0"/>
        <v/>
      </c>
      <c r="M21" s="50" t="str">
        <f t="shared" si="1"/>
        <v/>
      </c>
      <c r="N21" s="48" t="str">
        <f t="shared" si="2"/>
        <v/>
      </c>
      <c r="O21" s="57" t="str">
        <f t="shared" si="3"/>
        <v/>
      </c>
    </row>
    <row r="22" spans="2:15">
      <c r="B22" s="56"/>
      <c r="C22" s="78"/>
      <c r="D22" s="51"/>
      <c r="E22" s="52"/>
      <c r="F22" s="53"/>
      <c r="G22" s="47" t="str">
        <f>IF(N($E22)=0,"",$E22*IF($D22="USD",설정!$C$11,IF($D22="CNY",설정!$C$12,1)))</f>
        <v/>
      </c>
      <c r="H22" s="48" t="str">
        <f>IF($G22="","",$G22*(1+설정!$C$17))</f>
        <v/>
      </c>
      <c r="I22" s="54"/>
      <c r="J22" s="50" t="str">
        <f>IF($G22="","",IF($I22="",설정!$C$18,$I22))</f>
        <v/>
      </c>
      <c r="K22" s="48" t="str">
        <f>IF($H22="","",IFERROR(IF(설정!$C$20&lt;=1,ROUND(IF(설정!$C$19="판매가 마진",$H22/(1-$J22),$H22*(1+$J22)),0),CEILING(IF(설정!$C$19="판매가 마진",$H22/(1-$J22),$H22*(1+$J22)),설정!$C$20)),0))</f>
        <v/>
      </c>
      <c r="L22" s="48" t="str">
        <f t="shared" si="0"/>
        <v/>
      </c>
      <c r="M22" s="50" t="str">
        <f t="shared" si="1"/>
        <v/>
      </c>
      <c r="N22" s="48" t="str">
        <f t="shared" si="2"/>
        <v/>
      </c>
      <c r="O22" s="57" t="str">
        <f t="shared" si="3"/>
        <v/>
      </c>
    </row>
    <row r="23" spans="2:15">
      <c r="B23" s="56"/>
      <c r="C23" s="78"/>
      <c r="D23" s="51"/>
      <c r="E23" s="52"/>
      <c r="F23" s="53"/>
      <c r="G23" s="47" t="str">
        <f>IF(N($E23)=0,"",$E23*IF($D23="USD",설정!$C$11,IF($D23="CNY",설정!$C$12,1)))</f>
        <v/>
      </c>
      <c r="H23" s="48" t="str">
        <f>IF($G23="","",$G23*(1+설정!$C$17))</f>
        <v/>
      </c>
      <c r="I23" s="54"/>
      <c r="J23" s="50" t="str">
        <f>IF($G23="","",IF($I23="",설정!$C$18,$I23))</f>
        <v/>
      </c>
      <c r="K23" s="48" t="str">
        <f>IF($H23="","",IFERROR(IF(설정!$C$20&lt;=1,ROUND(IF(설정!$C$19="판매가 마진",$H23/(1-$J23),$H23*(1+$J23)),0),CEILING(IF(설정!$C$19="판매가 마진",$H23/(1-$J23),$H23*(1+$J23)),설정!$C$20)),0))</f>
        <v/>
      </c>
      <c r="L23" s="48" t="str">
        <f t="shared" si="0"/>
        <v/>
      </c>
      <c r="M23" s="50" t="str">
        <f t="shared" si="1"/>
        <v/>
      </c>
      <c r="N23" s="48" t="str">
        <f t="shared" si="2"/>
        <v/>
      </c>
      <c r="O23" s="57" t="str">
        <f t="shared" si="3"/>
        <v/>
      </c>
    </row>
    <row r="24" spans="2:15">
      <c r="B24" s="56"/>
      <c r="C24" s="78"/>
      <c r="D24" s="51"/>
      <c r="E24" s="52"/>
      <c r="F24" s="53"/>
      <c r="G24" s="47" t="str">
        <f>IF(N($E24)=0,"",$E24*IF($D24="USD",설정!$C$11,IF($D24="CNY",설정!$C$12,1)))</f>
        <v/>
      </c>
      <c r="H24" s="48" t="str">
        <f>IF($G24="","",$G24*(1+설정!$C$17))</f>
        <v/>
      </c>
      <c r="I24" s="54"/>
      <c r="J24" s="50" t="str">
        <f>IF($G24="","",IF($I24="",설정!$C$18,$I24))</f>
        <v/>
      </c>
      <c r="K24" s="48" t="str">
        <f>IF($H24="","",IFERROR(IF(설정!$C$20&lt;=1,ROUND(IF(설정!$C$19="판매가 마진",$H24/(1-$J24),$H24*(1+$J24)),0),CEILING(IF(설정!$C$19="판매가 마진",$H24/(1-$J24),$H24*(1+$J24)),설정!$C$20)),0))</f>
        <v/>
      </c>
      <c r="L24" s="48" t="str">
        <f t="shared" si="0"/>
        <v/>
      </c>
      <c r="M24" s="50" t="str">
        <f t="shared" si="1"/>
        <v/>
      </c>
      <c r="N24" s="48" t="str">
        <f t="shared" si="2"/>
        <v/>
      </c>
      <c r="O24" s="57" t="str">
        <f t="shared" si="3"/>
        <v/>
      </c>
    </row>
    <row r="25" spans="2:15">
      <c r="B25" s="56"/>
      <c r="C25" s="78"/>
      <c r="D25" s="51"/>
      <c r="E25" s="52"/>
      <c r="F25" s="53"/>
      <c r="G25" s="47" t="str">
        <f>IF(N($E25)=0,"",$E25*IF($D25="USD",설정!$C$11,IF($D25="CNY",설정!$C$12,1)))</f>
        <v/>
      </c>
      <c r="H25" s="48" t="str">
        <f>IF($G25="","",$G25*(1+설정!$C$17))</f>
        <v/>
      </c>
      <c r="I25" s="54"/>
      <c r="J25" s="50" t="str">
        <f>IF($G25="","",IF($I25="",설정!$C$18,$I25))</f>
        <v/>
      </c>
      <c r="K25" s="48" t="str">
        <f>IF($H25="","",IFERROR(IF(설정!$C$20&lt;=1,ROUND(IF(설정!$C$19="판매가 마진",$H25/(1-$J25),$H25*(1+$J25)),0),CEILING(IF(설정!$C$19="판매가 마진",$H25/(1-$J25),$H25*(1+$J25)),설정!$C$20)),0))</f>
        <v/>
      </c>
      <c r="L25" s="48" t="str">
        <f t="shared" si="0"/>
        <v/>
      </c>
      <c r="M25" s="50" t="str">
        <f t="shared" si="1"/>
        <v/>
      </c>
      <c r="N25" s="48" t="str">
        <f t="shared" si="2"/>
        <v/>
      </c>
      <c r="O25" s="57" t="str">
        <f t="shared" si="3"/>
        <v/>
      </c>
    </row>
    <row r="26" spans="2:15">
      <c r="B26" s="56"/>
      <c r="C26" s="78"/>
      <c r="D26" s="51"/>
      <c r="E26" s="52"/>
      <c r="F26" s="53"/>
      <c r="G26" s="47" t="str">
        <f>IF(N($E26)=0,"",$E26*IF($D26="USD",설정!$C$11,IF($D26="CNY",설정!$C$12,1)))</f>
        <v/>
      </c>
      <c r="H26" s="48" t="str">
        <f>IF($G26="","",$G26*(1+설정!$C$17))</f>
        <v/>
      </c>
      <c r="I26" s="54"/>
      <c r="J26" s="50" t="str">
        <f>IF($G26="","",IF($I26="",설정!$C$18,$I26))</f>
        <v/>
      </c>
      <c r="K26" s="48" t="str">
        <f>IF($H26="","",IFERROR(IF(설정!$C$20&lt;=1,ROUND(IF(설정!$C$19="판매가 마진",$H26/(1-$J26),$H26*(1+$J26)),0),CEILING(IF(설정!$C$19="판매가 마진",$H26/(1-$J26),$H26*(1+$J26)),설정!$C$20)),0))</f>
        <v/>
      </c>
      <c r="L26" s="48" t="str">
        <f t="shared" si="0"/>
        <v/>
      </c>
      <c r="M26" s="50" t="str">
        <f t="shared" si="1"/>
        <v/>
      </c>
      <c r="N26" s="48" t="str">
        <f t="shared" si="2"/>
        <v/>
      </c>
      <c r="O26" s="57" t="str">
        <f t="shared" si="3"/>
        <v/>
      </c>
    </row>
    <row r="27" spans="2:15">
      <c r="B27" s="56"/>
      <c r="C27" s="78"/>
      <c r="D27" s="51"/>
      <c r="E27" s="52"/>
      <c r="F27" s="53"/>
      <c r="G27" s="47" t="str">
        <f>IF(N($E27)=0,"",$E27*IF($D27="USD",설정!$C$11,IF($D27="CNY",설정!$C$12,1)))</f>
        <v/>
      </c>
      <c r="H27" s="48" t="str">
        <f>IF($G27="","",$G27*(1+설정!$C$17))</f>
        <v/>
      </c>
      <c r="I27" s="54"/>
      <c r="J27" s="50" t="str">
        <f>IF($G27="","",IF($I27="",설정!$C$18,$I27))</f>
        <v/>
      </c>
      <c r="K27" s="48" t="str">
        <f>IF($H27="","",IFERROR(IF(설정!$C$20&lt;=1,ROUND(IF(설정!$C$19="판매가 마진",$H27/(1-$J27),$H27*(1+$J27)),0),CEILING(IF(설정!$C$19="판매가 마진",$H27/(1-$J27),$H27*(1+$J27)),설정!$C$20)),0))</f>
        <v/>
      </c>
      <c r="L27" s="48" t="str">
        <f t="shared" si="0"/>
        <v/>
      </c>
      <c r="M27" s="50" t="str">
        <f t="shared" si="1"/>
        <v/>
      </c>
      <c r="N27" s="48" t="str">
        <f t="shared" si="2"/>
        <v/>
      </c>
      <c r="O27" s="57" t="str">
        <f t="shared" si="3"/>
        <v/>
      </c>
    </row>
    <row r="28" spans="2:15">
      <c r="B28" s="56"/>
      <c r="C28" s="78"/>
      <c r="D28" s="51"/>
      <c r="E28" s="52"/>
      <c r="F28" s="53"/>
      <c r="G28" s="47" t="str">
        <f>IF(N($E28)=0,"",$E28*IF($D28="USD",설정!$C$11,IF($D28="CNY",설정!$C$12,1)))</f>
        <v/>
      </c>
      <c r="H28" s="48" t="str">
        <f>IF($G28="","",$G28*(1+설정!$C$17))</f>
        <v/>
      </c>
      <c r="I28" s="54"/>
      <c r="J28" s="50" t="str">
        <f>IF($G28="","",IF($I28="",설정!$C$18,$I28))</f>
        <v/>
      </c>
      <c r="K28" s="48" t="str">
        <f>IF($H28="","",IFERROR(IF(설정!$C$20&lt;=1,ROUND(IF(설정!$C$19="판매가 마진",$H28/(1-$J28),$H28*(1+$J28)),0),CEILING(IF(설정!$C$19="판매가 마진",$H28/(1-$J28),$H28*(1+$J28)),설정!$C$20)),0))</f>
        <v/>
      </c>
      <c r="L28" s="48" t="str">
        <f t="shared" si="0"/>
        <v/>
      </c>
      <c r="M28" s="50" t="str">
        <f t="shared" si="1"/>
        <v/>
      </c>
      <c r="N28" s="48" t="str">
        <f t="shared" si="2"/>
        <v/>
      </c>
      <c r="O28" s="57" t="str">
        <f t="shared" si="3"/>
        <v/>
      </c>
    </row>
    <row r="29" spans="2:15">
      <c r="B29" s="56"/>
      <c r="C29" s="78"/>
      <c r="D29" s="51"/>
      <c r="E29" s="52"/>
      <c r="F29" s="53"/>
      <c r="G29" s="47" t="str">
        <f>IF(N($E29)=0,"",$E29*IF($D29="USD",설정!$C$11,IF($D29="CNY",설정!$C$12,1)))</f>
        <v/>
      </c>
      <c r="H29" s="48" t="str">
        <f>IF($G29="","",$G29*(1+설정!$C$17))</f>
        <v/>
      </c>
      <c r="I29" s="54"/>
      <c r="J29" s="50" t="str">
        <f>IF($G29="","",IF($I29="",설정!$C$18,$I29))</f>
        <v/>
      </c>
      <c r="K29" s="48" t="str">
        <f>IF($H29="","",IFERROR(IF(설정!$C$20&lt;=1,ROUND(IF(설정!$C$19="판매가 마진",$H29/(1-$J29),$H29*(1+$J29)),0),CEILING(IF(설정!$C$19="판매가 마진",$H29/(1-$J29),$H29*(1+$J29)),설정!$C$20)),0))</f>
        <v/>
      </c>
      <c r="L29" s="48" t="str">
        <f t="shared" si="0"/>
        <v/>
      </c>
      <c r="M29" s="50" t="str">
        <f t="shared" si="1"/>
        <v/>
      </c>
      <c r="N29" s="48" t="str">
        <f t="shared" si="2"/>
        <v/>
      </c>
      <c r="O29" s="57" t="str">
        <f t="shared" si="3"/>
        <v/>
      </c>
    </row>
    <row r="30" spans="2:15">
      <c r="B30" s="56"/>
      <c r="C30" s="78"/>
      <c r="D30" s="51"/>
      <c r="E30" s="52"/>
      <c r="F30" s="53"/>
      <c r="G30" s="47" t="str">
        <f>IF(N($E30)=0,"",$E30*IF($D30="USD",설정!$C$11,IF($D30="CNY",설정!$C$12,1)))</f>
        <v/>
      </c>
      <c r="H30" s="48" t="str">
        <f>IF($G30="","",$G30*(1+설정!$C$17))</f>
        <v/>
      </c>
      <c r="I30" s="54"/>
      <c r="J30" s="50" t="str">
        <f>IF($G30="","",IF($I30="",설정!$C$18,$I30))</f>
        <v/>
      </c>
      <c r="K30" s="48" t="str">
        <f>IF($H30="","",IFERROR(IF(설정!$C$20&lt;=1,ROUND(IF(설정!$C$19="판매가 마진",$H30/(1-$J30),$H30*(1+$J30)),0),CEILING(IF(설정!$C$19="판매가 마진",$H30/(1-$J30),$H30*(1+$J30)),설정!$C$20)),0))</f>
        <v/>
      </c>
      <c r="L30" s="48" t="str">
        <f t="shared" si="0"/>
        <v/>
      </c>
      <c r="M30" s="50" t="str">
        <f t="shared" si="1"/>
        <v/>
      </c>
      <c r="N30" s="48" t="str">
        <f t="shared" si="2"/>
        <v/>
      </c>
      <c r="O30" s="57" t="str">
        <f t="shared" si="3"/>
        <v/>
      </c>
    </row>
    <row r="31" spans="2:15">
      <c r="B31" s="56"/>
      <c r="C31" s="78"/>
      <c r="D31" s="51"/>
      <c r="E31" s="52"/>
      <c r="F31" s="53"/>
      <c r="G31" s="47" t="str">
        <f>IF(N($E31)=0,"",$E31*IF($D31="USD",설정!$C$11,IF($D31="CNY",설정!$C$12,1)))</f>
        <v/>
      </c>
      <c r="H31" s="48" t="str">
        <f>IF($G31="","",$G31*(1+설정!$C$17))</f>
        <v/>
      </c>
      <c r="I31" s="54"/>
      <c r="J31" s="50" t="str">
        <f>IF($G31="","",IF($I31="",설정!$C$18,$I31))</f>
        <v/>
      </c>
      <c r="K31" s="48" t="str">
        <f>IF($H31="","",IFERROR(IF(설정!$C$20&lt;=1,ROUND(IF(설정!$C$19="판매가 마진",$H31/(1-$J31),$H31*(1+$J31)),0),CEILING(IF(설정!$C$19="판매가 마진",$H31/(1-$J31),$H31*(1+$J31)),설정!$C$20)),0))</f>
        <v/>
      </c>
      <c r="L31" s="48" t="str">
        <f t="shared" si="0"/>
        <v/>
      </c>
      <c r="M31" s="50" t="str">
        <f t="shared" si="1"/>
        <v/>
      </c>
      <c r="N31" s="48" t="str">
        <f t="shared" si="2"/>
        <v/>
      </c>
      <c r="O31" s="57" t="str">
        <f t="shared" si="3"/>
        <v/>
      </c>
    </row>
    <row r="32" spans="2:15">
      <c r="B32" s="56"/>
      <c r="C32" s="78"/>
      <c r="D32" s="51"/>
      <c r="E32" s="52"/>
      <c r="F32" s="53"/>
      <c r="G32" s="47" t="str">
        <f>IF(N($E32)=0,"",$E32*IF($D32="USD",설정!$C$11,IF($D32="CNY",설정!$C$12,1)))</f>
        <v/>
      </c>
      <c r="H32" s="48" t="str">
        <f>IF($G32="","",$G32*(1+설정!$C$17))</f>
        <v/>
      </c>
      <c r="I32" s="54"/>
      <c r="J32" s="50" t="str">
        <f>IF($G32="","",IF($I32="",설정!$C$18,$I32))</f>
        <v/>
      </c>
      <c r="K32" s="48" t="str">
        <f>IF($H32="","",IFERROR(IF(설정!$C$20&lt;=1,ROUND(IF(설정!$C$19="판매가 마진",$H32/(1-$J32),$H32*(1+$J32)),0),CEILING(IF(설정!$C$19="판매가 마진",$H32/(1-$J32),$H32*(1+$J32)),설정!$C$20)),0))</f>
        <v/>
      </c>
      <c r="L32" s="48" t="str">
        <f t="shared" si="0"/>
        <v/>
      </c>
      <c r="M32" s="50" t="str">
        <f t="shared" si="1"/>
        <v/>
      </c>
      <c r="N32" s="48" t="str">
        <f t="shared" si="2"/>
        <v/>
      </c>
      <c r="O32" s="57" t="str">
        <f t="shared" si="3"/>
        <v/>
      </c>
    </row>
    <row r="33" spans="2:15">
      <c r="B33" s="56"/>
      <c r="C33" s="78"/>
      <c r="D33" s="51"/>
      <c r="E33" s="52"/>
      <c r="F33" s="53"/>
      <c r="G33" s="47" t="str">
        <f>IF(N($E33)=0,"",$E33*IF($D33="USD",설정!$C$11,IF($D33="CNY",설정!$C$12,1)))</f>
        <v/>
      </c>
      <c r="H33" s="48" t="str">
        <f>IF($G33="","",$G33*(1+설정!$C$17))</f>
        <v/>
      </c>
      <c r="I33" s="54"/>
      <c r="J33" s="50" t="str">
        <f>IF($G33="","",IF($I33="",설정!$C$18,$I33))</f>
        <v/>
      </c>
      <c r="K33" s="48" t="str">
        <f>IF($H33="","",IFERROR(IF(설정!$C$20&lt;=1,ROUND(IF(설정!$C$19="판매가 마진",$H33/(1-$J33),$H33*(1+$J33)),0),CEILING(IF(설정!$C$19="판매가 마진",$H33/(1-$J33),$H33*(1+$J33)),설정!$C$20)),0))</f>
        <v/>
      </c>
      <c r="L33" s="48" t="str">
        <f t="shared" si="0"/>
        <v/>
      </c>
      <c r="M33" s="50" t="str">
        <f t="shared" si="1"/>
        <v/>
      </c>
      <c r="N33" s="48" t="str">
        <f t="shared" si="2"/>
        <v/>
      </c>
      <c r="O33" s="57" t="str">
        <f t="shared" si="3"/>
        <v/>
      </c>
    </row>
    <row r="34" spans="2:15">
      <c r="B34" s="56"/>
      <c r="C34" s="78"/>
      <c r="D34" s="51"/>
      <c r="E34" s="52"/>
      <c r="F34" s="53"/>
      <c r="G34" s="47" t="str">
        <f>IF(N($E34)=0,"",$E34*IF($D34="USD",설정!$C$11,IF($D34="CNY",설정!$C$12,1)))</f>
        <v/>
      </c>
      <c r="H34" s="48" t="str">
        <f>IF($G34="","",$G34*(1+설정!$C$17))</f>
        <v/>
      </c>
      <c r="I34" s="54"/>
      <c r="J34" s="50" t="str">
        <f>IF($G34="","",IF($I34="",설정!$C$18,$I34))</f>
        <v/>
      </c>
      <c r="K34" s="48" t="str">
        <f>IF($H34="","",IFERROR(IF(설정!$C$20&lt;=1,ROUND(IF(설정!$C$19="판매가 마진",$H34/(1-$J34),$H34*(1+$J34)),0),CEILING(IF(설정!$C$19="판매가 마진",$H34/(1-$J34),$H34*(1+$J34)),설정!$C$20)),0))</f>
        <v/>
      </c>
      <c r="L34" s="48" t="str">
        <f t="shared" si="0"/>
        <v/>
      </c>
      <c r="M34" s="50" t="str">
        <f t="shared" si="1"/>
        <v/>
      </c>
      <c r="N34" s="48" t="str">
        <f t="shared" si="2"/>
        <v/>
      </c>
      <c r="O34" s="57" t="str">
        <f t="shared" si="3"/>
        <v/>
      </c>
    </row>
    <row r="35" spans="2:15">
      <c r="B35" s="56"/>
      <c r="C35" s="78"/>
      <c r="D35" s="51"/>
      <c r="E35" s="52"/>
      <c r="F35" s="53"/>
      <c r="G35" s="47" t="str">
        <f>IF(N($E35)=0,"",$E35*IF($D35="USD",설정!$C$11,IF($D35="CNY",설정!$C$12,1)))</f>
        <v/>
      </c>
      <c r="H35" s="48" t="str">
        <f>IF($G35="","",$G35*(1+설정!$C$17))</f>
        <v/>
      </c>
      <c r="I35" s="54"/>
      <c r="J35" s="50" t="str">
        <f>IF($G35="","",IF($I35="",설정!$C$18,$I35))</f>
        <v/>
      </c>
      <c r="K35" s="48" t="str">
        <f>IF($H35="","",IFERROR(IF(설정!$C$20&lt;=1,ROUND(IF(설정!$C$19="판매가 마진",$H35/(1-$J35),$H35*(1+$J35)),0),CEILING(IF(설정!$C$19="판매가 마진",$H35/(1-$J35),$H35*(1+$J35)),설정!$C$20)),0))</f>
        <v/>
      </c>
      <c r="L35" s="48" t="str">
        <f t="shared" si="0"/>
        <v/>
      </c>
      <c r="M35" s="50" t="str">
        <f t="shared" si="1"/>
        <v/>
      </c>
      <c r="N35" s="48" t="str">
        <f t="shared" si="2"/>
        <v/>
      </c>
      <c r="O35" s="57" t="str">
        <f t="shared" si="3"/>
        <v/>
      </c>
    </row>
    <row r="36" spans="2:15">
      <c r="B36" s="56"/>
      <c r="C36" s="78"/>
      <c r="D36" s="51"/>
      <c r="E36" s="52"/>
      <c r="F36" s="53"/>
      <c r="G36" s="47" t="str">
        <f>IF(N($E36)=0,"",$E36*IF($D36="USD",설정!$C$11,IF($D36="CNY",설정!$C$12,1)))</f>
        <v/>
      </c>
      <c r="H36" s="48" t="str">
        <f>IF($G36="","",$G36*(1+설정!$C$17))</f>
        <v/>
      </c>
      <c r="I36" s="54"/>
      <c r="J36" s="50" t="str">
        <f>IF($G36="","",IF($I36="",설정!$C$18,$I36))</f>
        <v/>
      </c>
      <c r="K36" s="48" t="str">
        <f>IF($H36="","",IFERROR(IF(설정!$C$20&lt;=1,ROUND(IF(설정!$C$19="판매가 마진",$H36/(1-$J36),$H36*(1+$J36)),0),CEILING(IF(설정!$C$19="판매가 마진",$H36/(1-$J36),$H36*(1+$J36)),설정!$C$20)),0))</f>
        <v/>
      </c>
      <c r="L36" s="48" t="str">
        <f t="shared" si="0"/>
        <v/>
      </c>
      <c r="M36" s="50" t="str">
        <f t="shared" si="1"/>
        <v/>
      </c>
      <c r="N36" s="48" t="str">
        <f t="shared" si="2"/>
        <v/>
      </c>
      <c r="O36" s="57" t="str">
        <f t="shared" si="3"/>
        <v/>
      </c>
    </row>
    <row r="37" spans="2:15">
      <c r="B37" s="56"/>
      <c r="C37" s="78"/>
      <c r="D37" s="51"/>
      <c r="E37" s="52"/>
      <c r="F37" s="53"/>
      <c r="G37" s="47" t="str">
        <f>IF(N($E37)=0,"",$E37*IF($D37="USD",설정!$C$11,IF($D37="CNY",설정!$C$12,1)))</f>
        <v/>
      </c>
      <c r="H37" s="48" t="str">
        <f>IF($G37="","",$G37*(1+설정!$C$17))</f>
        <v/>
      </c>
      <c r="I37" s="54"/>
      <c r="J37" s="50" t="str">
        <f>IF($G37="","",IF($I37="",설정!$C$18,$I37))</f>
        <v/>
      </c>
      <c r="K37" s="48" t="str">
        <f>IF($H37="","",IFERROR(IF(설정!$C$20&lt;=1,ROUND(IF(설정!$C$19="판매가 마진",$H37/(1-$J37),$H37*(1+$J37)),0),CEILING(IF(설정!$C$19="판매가 마진",$H37/(1-$J37),$H37*(1+$J37)),설정!$C$20)),0))</f>
        <v/>
      </c>
      <c r="L37" s="48" t="str">
        <f t="shared" si="0"/>
        <v/>
      </c>
      <c r="M37" s="50" t="str">
        <f t="shared" si="1"/>
        <v/>
      </c>
      <c r="N37" s="48" t="str">
        <f t="shared" si="2"/>
        <v/>
      </c>
      <c r="O37" s="57" t="str">
        <f t="shared" si="3"/>
        <v/>
      </c>
    </row>
    <row r="38" spans="2:15">
      <c r="B38" s="56"/>
      <c r="C38" s="78"/>
      <c r="D38" s="51"/>
      <c r="E38" s="52"/>
      <c r="F38" s="53"/>
      <c r="G38" s="47" t="str">
        <f>IF(N($E38)=0,"",$E38*IF($D38="USD",설정!$C$11,IF($D38="CNY",설정!$C$12,1)))</f>
        <v/>
      </c>
      <c r="H38" s="48" t="str">
        <f>IF($G38="","",$G38*(1+설정!$C$17))</f>
        <v/>
      </c>
      <c r="I38" s="54"/>
      <c r="J38" s="50" t="str">
        <f>IF($G38="","",IF($I38="",설정!$C$18,$I38))</f>
        <v/>
      </c>
      <c r="K38" s="48" t="str">
        <f>IF($H38="","",IFERROR(IF(설정!$C$20&lt;=1,ROUND(IF(설정!$C$19="판매가 마진",$H38/(1-$J38),$H38*(1+$J38)),0),CEILING(IF(설정!$C$19="판매가 마진",$H38/(1-$J38),$H38*(1+$J38)),설정!$C$20)),0))</f>
        <v/>
      </c>
      <c r="L38" s="48" t="str">
        <f t="shared" si="0"/>
        <v/>
      </c>
      <c r="M38" s="50" t="str">
        <f t="shared" si="1"/>
        <v/>
      </c>
      <c r="N38" s="48" t="str">
        <f t="shared" si="2"/>
        <v/>
      </c>
      <c r="O38" s="57" t="str">
        <f t="shared" si="3"/>
        <v/>
      </c>
    </row>
    <row r="39" spans="2:15">
      <c r="B39" s="56"/>
      <c r="C39" s="78"/>
      <c r="D39" s="51"/>
      <c r="E39" s="52"/>
      <c r="F39" s="53"/>
      <c r="G39" s="47" t="str">
        <f>IF(N($E39)=0,"",$E39*IF($D39="USD",설정!$C$11,IF($D39="CNY",설정!$C$12,1)))</f>
        <v/>
      </c>
      <c r="H39" s="48" t="str">
        <f>IF($G39="","",$G39*(1+설정!$C$17))</f>
        <v/>
      </c>
      <c r="I39" s="54"/>
      <c r="J39" s="50" t="str">
        <f>IF($G39="","",IF($I39="",설정!$C$18,$I39))</f>
        <v/>
      </c>
      <c r="K39" s="48" t="str">
        <f>IF($H39="","",IFERROR(IF(설정!$C$20&lt;=1,ROUND(IF(설정!$C$19="판매가 마진",$H39/(1-$J39),$H39*(1+$J39)),0),CEILING(IF(설정!$C$19="판매가 마진",$H39/(1-$J39),$H39*(1+$J39)),설정!$C$20)),0))</f>
        <v/>
      </c>
      <c r="L39" s="48" t="str">
        <f t="shared" si="0"/>
        <v/>
      </c>
      <c r="M39" s="50" t="str">
        <f t="shared" si="1"/>
        <v/>
      </c>
      <c r="N39" s="48" t="str">
        <f t="shared" si="2"/>
        <v/>
      </c>
      <c r="O39" s="57" t="str">
        <f t="shared" si="3"/>
        <v/>
      </c>
    </row>
    <row r="40" spans="2:15">
      <c r="B40" s="56"/>
      <c r="C40" s="78"/>
      <c r="D40" s="51"/>
      <c r="E40" s="52"/>
      <c r="F40" s="53"/>
      <c r="G40" s="47" t="str">
        <f>IF(N($E40)=0,"",$E40*IF($D40="USD",설정!$C$11,IF($D40="CNY",설정!$C$12,1)))</f>
        <v/>
      </c>
      <c r="H40" s="48" t="str">
        <f>IF($G40="","",$G40*(1+설정!$C$17))</f>
        <v/>
      </c>
      <c r="I40" s="54"/>
      <c r="J40" s="50" t="str">
        <f>IF($G40="","",IF($I40="",설정!$C$18,$I40))</f>
        <v/>
      </c>
      <c r="K40" s="48" t="str">
        <f>IF($H40="","",IFERROR(IF(설정!$C$20&lt;=1,ROUND(IF(설정!$C$19="판매가 마진",$H40/(1-$J40),$H40*(1+$J40)),0),CEILING(IF(설정!$C$19="판매가 마진",$H40/(1-$J40),$H40*(1+$J40)),설정!$C$20)),0))</f>
        <v/>
      </c>
      <c r="L40" s="48" t="str">
        <f t="shared" si="0"/>
        <v/>
      </c>
      <c r="M40" s="50" t="str">
        <f t="shared" si="1"/>
        <v/>
      </c>
      <c r="N40" s="48" t="str">
        <f t="shared" si="2"/>
        <v/>
      </c>
      <c r="O40" s="57" t="str">
        <f t="shared" si="3"/>
        <v/>
      </c>
    </row>
    <row r="41" spans="2:15">
      <c r="B41" s="56"/>
      <c r="C41" s="78"/>
      <c r="D41" s="51"/>
      <c r="E41" s="52"/>
      <c r="F41" s="53"/>
      <c r="G41" s="47" t="str">
        <f>IF(N($E41)=0,"",$E41*IF($D41="USD",설정!$C$11,IF($D41="CNY",설정!$C$12,1)))</f>
        <v/>
      </c>
      <c r="H41" s="48" t="str">
        <f>IF($G41="","",$G41*(1+설정!$C$17))</f>
        <v/>
      </c>
      <c r="I41" s="54"/>
      <c r="J41" s="50" t="str">
        <f>IF($G41="","",IF($I41="",설정!$C$18,$I41))</f>
        <v/>
      </c>
      <c r="K41" s="48" t="str">
        <f>IF($H41="","",IFERROR(IF(설정!$C$20&lt;=1,ROUND(IF(설정!$C$19="판매가 마진",$H41/(1-$J41),$H41*(1+$J41)),0),CEILING(IF(설정!$C$19="판매가 마진",$H41/(1-$J41),$H41*(1+$J41)),설정!$C$20)),0))</f>
        <v/>
      </c>
      <c r="L41" s="48" t="str">
        <f t="shared" si="0"/>
        <v/>
      </c>
      <c r="M41" s="50" t="str">
        <f t="shared" si="1"/>
        <v/>
      </c>
      <c r="N41" s="48" t="str">
        <f t="shared" si="2"/>
        <v/>
      </c>
      <c r="O41" s="57" t="str">
        <f t="shared" si="3"/>
        <v/>
      </c>
    </row>
    <row r="42" spans="2:15">
      <c r="B42" s="56"/>
      <c r="C42" s="78"/>
      <c r="D42" s="51"/>
      <c r="E42" s="52"/>
      <c r="F42" s="53"/>
      <c r="G42" s="47" t="str">
        <f>IF(N($E42)=0,"",$E42*IF($D42="USD",설정!$C$11,IF($D42="CNY",설정!$C$12,1)))</f>
        <v/>
      </c>
      <c r="H42" s="48" t="str">
        <f>IF($G42="","",$G42*(1+설정!$C$17))</f>
        <v/>
      </c>
      <c r="I42" s="54"/>
      <c r="J42" s="50" t="str">
        <f>IF($G42="","",IF($I42="",설정!$C$18,$I42))</f>
        <v/>
      </c>
      <c r="K42" s="48" t="str">
        <f>IF($H42="","",IFERROR(IF(설정!$C$20&lt;=1,ROUND(IF(설정!$C$19="판매가 마진",$H42/(1-$J42),$H42*(1+$J42)),0),CEILING(IF(설정!$C$19="판매가 마진",$H42/(1-$J42),$H42*(1+$J42)),설정!$C$20)),0))</f>
        <v/>
      </c>
      <c r="L42" s="48" t="str">
        <f t="shared" si="0"/>
        <v/>
      </c>
      <c r="M42" s="50" t="str">
        <f t="shared" si="1"/>
        <v/>
      </c>
      <c r="N42" s="48" t="str">
        <f t="shared" si="2"/>
        <v/>
      </c>
      <c r="O42" s="57" t="str">
        <f t="shared" si="3"/>
        <v/>
      </c>
    </row>
    <row r="43" spans="2:15">
      <c r="B43" s="56"/>
      <c r="C43" s="78"/>
      <c r="D43" s="51"/>
      <c r="E43" s="52"/>
      <c r="F43" s="53"/>
      <c r="G43" s="47" t="str">
        <f>IF(N($E43)=0,"",$E43*IF($D43="USD",설정!$C$11,IF($D43="CNY",설정!$C$12,1)))</f>
        <v/>
      </c>
      <c r="H43" s="48" t="str">
        <f>IF($G43="","",$G43*(1+설정!$C$17))</f>
        <v/>
      </c>
      <c r="I43" s="54"/>
      <c r="J43" s="50" t="str">
        <f>IF($G43="","",IF($I43="",설정!$C$18,$I43))</f>
        <v/>
      </c>
      <c r="K43" s="48" t="str">
        <f>IF($H43="","",IFERROR(IF(설정!$C$20&lt;=1,ROUND(IF(설정!$C$19="판매가 마진",$H43/(1-$J43),$H43*(1+$J43)),0),CEILING(IF(설정!$C$19="판매가 마진",$H43/(1-$J43),$H43*(1+$J43)),설정!$C$20)),0))</f>
        <v/>
      </c>
      <c r="L43" s="48" t="str">
        <f t="shared" si="0"/>
        <v/>
      </c>
      <c r="M43" s="50" t="str">
        <f t="shared" si="1"/>
        <v/>
      </c>
      <c r="N43" s="48" t="str">
        <f t="shared" si="2"/>
        <v/>
      </c>
      <c r="O43" s="57" t="str">
        <f t="shared" si="3"/>
        <v/>
      </c>
    </row>
    <row r="44" spans="2:15">
      <c r="B44" s="56"/>
      <c r="C44" s="78"/>
      <c r="D44" s="51"/>
      <c r="E44" s="52"/>
      <c r="F44" s="53"/>
      <c r="G44" s="47" t="str">
        <f>IF(N($E44)=0,"",$E44*IF($D44="USD",설정!$C$11,IF($D44="CNY",설정!$C$12,1)))</f>
        <v/>
      </c>
      <c r="H44" s="48" t="str">
        <f>IF($G44="","",$G44*(1+설정!$C$17))</f>
        <v/>
      </c>
      <c r="I44" s="54"/>
      <c r="J44" s="50" t="str">
        <f>IF($G44="","",IF($I44="",설정!$C$18,$I44))</f>
        <v/>
      </c>
      <c r="K44" s="48" t="str">
        <f>IF($H44="","",IFERROR(IF(설정!$C$20&lt;=1,ROUND(IF(설정!$C$19="판매가 마진",$H44/(1-$J44),$H44*(1+$J44)),0),CEILING(IF(설정!$C$19="판매가 마진",$H44/(1-$J44),$H44*(1+$J44)),설정!$C$20)),0))</f>
        <v/>
      </c>
      <c r="L44" s="48" t="str">
        <f t="shared" si="0"/>
        <v/>
      </c>
      <c r="M44" s="50" t="str">
        <f t="shared" si="1"/>
        <v/>
      </c>
      <c r="N44" s="48" t="str">
        <f t="shared" si="2"/>
        <v/>
      </c>
      <c r="O44" s="57" t="str">
        <f t="shared" si="3"/>
        <v/>
      </c>
    </row>
    <row r="45" spans="2:15">
      <c r="B45" s="56"/>
      <c r="C45" s="78"/>
      <c r="D45" s="51"/>
      <c r="E45" s="52"/>
      <c r="F45" s="53"/>
      <c r="G45" s="47" t="str">
        <f>IF(N($E45)=0,"",$E45*IF($D45="USD",설정!$C$11,IF($D45="CNY",설정!$C$12,1)))</f>
        <v/>
      </c>
      <c r="H45" s="48" t="str">
        <f>IF($G45="","",$G45*(1+설정!$C$17))</f>
        <v/>
      </c>
      <c r="I45" s="54"/>
      <c r="J45" s="50" t="str">
        <f>IF($G45="","",IF($I45="",설정!$C$18,$I45))</f>
        <v/>
      </c>
      <c r="K45" s="48" t="str">
        <f>IF($H45="","",IFERROR(IF(설정!$C$20&lt;=1,ROUND(IF(설정!$C$19="판매가 마진",$H45/(1-$J45),$H45*(1+$J45)),0),CEILING(IF(설정!$C$19="판매가 마진",$H45/(1-$J45),$H45*(1+$J45)),설정!$C$20)),0))</f>
        <v/>
      </c>
      <c r="L45" s="48" t="str">
        <f t="shared" si="0"/>
        <v/>
      </c>
      <c r="M45" s="50" t="str">
        <f t="shared" si="1"/>
        <v/>
      </c>
      <c r="N45" s="48" t="str">
        <f t="shared" si="2"/>
        <v/>
      </c>
      <c r="O45" s="57" t="str">
        <f t="shared" si="3"/>
        <v/>
      </c>
    </row>
    <row r="46" spans="2:15" ht="18" thickBot="1">
      <c r="B46" s="58" t="s">
        <v>124</v>
      </c>
      <c r="C46" s="79"/>
      <c r="D46" s="59"/>
      <c r="E46" s="59"/>
      <c r="F46" s="60">
        <f>SUM(F6:F45)</f>
        <v>1502</v>
      </c>
      <c r="G46" s="59"/>
      <c r="H46" s="59"/>
      <c r="I46" s="59"/>
      <c r="J46" s="59"/>
      <c r="K46" s="59"/>
      <c r="L46" s="62">
        <f ca="1">SUM(L6:L45)</f>
        <v>40782.57699999999</v>
      </c>
      <c r="M46" s="61">
        <f ca="1">IFERROR(SUM(L6:L45)/SUM(N6:N45),0)</f>
        <v>1.3799155794061119E-3</v>
      </c>
      <c r="N46" s="62">
        <f ca="1">SUM(N6:N45)</f>
        <v>29554400</v>
      </c>
      <c r="O46" s="63">
        <f ca="1">SUM(O6:O45)</f>
        <v>20657703.220000003</v>
      </c>
    </row>
    <row r="48" spans="2:15">
      <c r="B48" s="4" t="s">
        <v>125</v>
      </c>
      <c r="C48" s="4"/>
    </row>
    <row r="49" spans="2:3">
      <c r="B49" s="4" t="s">
        <v>126</v>
      </c>
      <c r="C49" s="4"/>
    </row>
    <row r="50" spans="2:3">
      <c r="B50" s="3" t="s">
        <v>127</v>
      </c>
      <c r="C50" s="3"/>
    </row>
    <row r="51" spans="2:3">
      <c r="B51" s="4" t="s">
        <v>128</v>
      </c>
      <c r="C51" s="4"/>
    </row>
  </sheetData>
  <phoneticPr fontId="27" type="noConversion"/>
  <dataValidations count="1">
    <dataValidation type="list" allowBlank="1" sqref="D6:D45" xr:uid="{00000000-0002-0000-0300-000000000000}">
      <formula1>"USD,CNY,KRW"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B1:V53"/>
  <sheetViews>
    <sheetView showGridLines="0" tabSelected="1" zoomScale="85" zoomScaleNormal="85" workbookViewId="0">
      <selection activeCell="I17" sqref="I17"/>
    </sheetView>
  </sheetViews>
  <sheetFormatPr defaultRowHeight="17.399999999999999"/>
  <cols>
    <col min="1" max="1" width="3.69921875" customWidth="1"/>
    <col min="2" max="3" width="26" customWidth="1"/>
    <col min="4" max="5" width="8" customWidth="1"/>
    <col min="6" max="6" width="11" customWidth="1"/>
    <col min="7" max="7" width="13" customWidth="1"/>
    <col min="8" max="8" width="8" customWidth="1"/>
    <col min="9" max="9" width="13" customWidth="1"/>
    <col min="10" max="11" width="9" customWidth="1"/>
    <col min="12" max="14" width="13" customWidth="1"/>
    <col min="15" max="15" width="10.09765625" customWidth="1"/>
    <col min="16" max="16" width="12" customWidth="1"/>
    <col min="17" max="17" width="13" customWidth="1"/>
    <col min="18" max="20" width="10" customWidth="1"/>
    <col min="21" max="22" width="15" customWidth="1"/>
  </cols>
  <sheetData>
    <row r="1" spans="2:22" ht="15" customHeight="1"/>
    <row r="2" spans="2:22" ht="21">
      <c r="B2" s="1" t="s">
        <v>129</v>
      </c>
      <c r="C2" s="1"/>
    </row>
    <row r="3" spans="2:22">
      <c r="B3" s="5" t="str">
        <f>"매입원가 → 판관비 "&amp;TEXT(설정!$C$24,"0.0%")&amp;" → BEP 가격 → 영업이익 "&amp;TEXT(설정!$C$25,"0.0%")&amp;" → 기준 유통가 → (영업) 최종 유통가   ·   "&amp;설정!$C$26&amp;" 방식"</f>
        <v>매입원가 → 판관비 8.7% → BEP 가격 → 영업이익 10.0% → 기준 유통가 → (영업) 최종 유통가   ·   매출 대비 방식</v>
      </c>
      <c r="C3" s="5"/>
    </row>
    <row r="4" spans="2:22" ht="18" thickBot="1"/>
    <row r="5" spans="2:22" ht="34.950000000000003" customHeight="1" thickBot="1">
      <c r="B5" s="74" t="s">
        <v>130</v>
      </c>
      <c r="C5" s="84" t="s">
        <v>163</v>
      </c>
      <c r="D5" s="75" t="s">
        <v>131</v>
      </c>
      <c r="E5" s="75" t="s">
        <v>114</v>
      </c>
      <c r="F5" s="75" t="s">
        <v>115</v>
      </c>
      <c r="G5" s="75" t="s">
        <v>132</v>
      </c>
      <c r="H5" s="75" t="s">
        <v>116</v>
      </c>
      <c r="I5" s="75" t="s">
        <v>175</v>
      </c>
      <c r="J5" s="75" t="s">
        <v>83</v>
      </c>
      <c r="K5" s="75" t="s">
        <v>85</v>
      </c>
      <c r="L5" s="75" t="s">
        <v>133</v>
      </c>
      <c r="M5" s="75" t="s">
        <v>134</v>
      </c>
      <c r="N5" s="75" t="s">
        <v>135</v>
      </c>
      <c r="O5" s="75" t="s">
        <v>136</v>
      </c>
      <c r="P5" s="75" t="s">
        <v>176</v>
      </c>
      <c r="Q5" s="75" t="s">
        <v>177</v>
      </c>
      <c r="R5" s="75" t="s">
        <v>137</v>
      </c>
      <c r="S5" s="75" t="s">
        <v>138</v>
      </c>
      <c r="T5" s="75" t="s">
        <v>139</v>
      </c>
      <c r="U5" s="75" t="s">
        <v>140</v>
      </c>
      <c r="V5" s="76" t="s">
        <v>141</v>
      </c>
    </row>
    <row r="6" spans="2:22" ht="18" thickTop="1">
      <c r="B6" s="64" t="s">
        <v>173</v>
      </c>
      <c r="C6" s="80" t="s">
        <v>171</v>
      </c>
      <c r="D6" s="65" t="s">
        <v>142</v>
      </c>
      <c r="E6" s="65" t="s">
        <v>150</v>
      </c>
      <c r="F6" s="66"/>
      <c r="G6" s="67">
        <v>19000</v>
      </c>
      <c r="H6" s="68">
        <v>500</v>
      </c>
      <c r="I6" s="69">
        <f>IF($D6="","",IF($D6="수입",IF(N($F6)=0,"",$F6*IF($E6="USD",설정!$C$11,IF($E6="CNY",설정!$C$12,1))*(1+설정!$C$17)),IF(N($G6)=0,"",$G6*(1+설정!$C$23))))</f>
        <v>19000</v>
      </c>
      <c r="J6" s="70"/>
      <c r="K6" s="70"/>
      <c r="L6" s="71">
        <f>IF($I6="","",IFERROR(IF(설정!$C$26="원가 가산",$I6*(1+IF($J6="",설정!$C$24,$J6)),$I6/(1-IF($J6="",설정!$C$24,$J6))),0))</f>
        <v>20810.5147864184</v>
      </c>
      <c r="M6" s="71">
        <f>IF($I6="","",IFERROR(IF(설정!$C$27&lt;=1,ROUND(IF(설정!$C$26="원가 가산",$L6*(1+IF($K6="",설정!$C$25,$K6)),$I6/(1-IF($J6="",설정!$C$24,$J6)-IF($K6="",설정!$C$25,$K6))),0),CEILING(IF(설정!$C$26="원가 가산",$L6*(1+IF($K6="",설정!$C$25,$K6)),$I6/(1-IF($J6="",설정!$C$24,$J6)-IF($K6="",설정!$C$25,$K6))),설정!$C$27)),0))</f>
        <v>23400</v>
      </c>
      <c r="N6" s="67">
        <v>40000</v>
      </c>
      <c r="O6" s="71">
        <f t="shared" ref="O6:O45" si="0">IF($M6="","",IF($N6="",$M6,$N6))</f>
        <v>40000</v>
      </c>
      <c r="P6" s="71">
        <f>IF($O6="","",IF(설정!$C$26="원가 가산",$I6*IF($J6="",설정!$C$24,$J6),$O6*IF($J6="",설정!$C$24,$J6)))</f>
        <v>3479.9999999999995</v>
      </c>
      <c r="Q6" s="71">
        <f t="shared" ref="Q6:Q45" si="1">IF($O6="","",$O6-$I6-$P6)</f>
        <v>17520</v>
      </c>
      <c r="R6" s="72">
        <f t="shared" ref="R6:R45" si="2">IF(N($O6)=0,"",$Q6/$O6)</f>
        <v>0.438</v>
      </c>
      <c r="S6" s="72">
        <f t="shared" ref="S6:S45" si="3">IF(N($M6)=0,"",$O6/$M6-1)</f>
        <v>0.70940170940170932</v>
      </c>
      <c r="T6" s="72">
        <f t="shared" ref="T6:T45" si="4">IF(N($L6)=0,"",$O6/$L6-1)</f>
        <v>0.92210526315789476</v>
      </c>
      <c r="U6" s="71">
        <f t="shared" ref="U6:U45" si="5">IF($O6="","",$O6*$H6)</f>
        <v>20000000</v>
      </c>
      <c r="V6" s="73">
        <f t="shared" ref="V6:V45" si="6">IF($Q6="","",$Q6*$H6)</f>
        <v>8760000</v>
      </c>
    </row>
    <row r="7" spans="2:22">
      <c r="B7" s="56" t="s">
        <v>174</v>
      </c>
      <c r="C7" s="78" t="s">
        <v>172</v>
      </c>
      <c r="D7" s="51" t="s">
        <v>142</v>
      </c>
      <c r="E7" s="51" t="s">
        <v>150</v>
      </c>
      <c r="F7" s="52"/>
      <c r="G7" s="55">
        <v>9000</v>
      </c>
      <c r="H7" s="53">
        <v>500</v>
      </c>
      <c r="I7" s="47">
        <f>IF($D7="","",IF($D7="수입",IF(N($F7)=0,"",$F7*IF($E7="USD",설정!$C$11,IF($E7="CNY",설정!$C$12,1))*(1+설정!$C$17)),IF(N($G7)=0,"",$G7*(1+설정!$C$23))))</f>
        <v>9000</v>
      </c>
      <c r="J7" s="49"/>
      <c r="K7" s="49"/>
      <c r="L7" s="48">
        <f>IF($I7="","",IFERROR(IF(설정!$C$26="원가 가산",$I7*(1+IF($J7="",설정!$C$24,$J7)),$I7/(1-IF($J7="",설정!$C$24,$J7))),0))</f>
        <v>9857.6122672508209</v>
      </c>
      <c r="M7" s="48">
        <f>IF($I7="","",IFERROR(IF(설정!$C$27&lt;=1,ROUND(IF(설정!$C$26="원가 가산",$L7*(1+IF($K7="",설정!$C$25,$K7)),$I7/(1-IF($J7="",설정!$C$24,$J7)-IF($K7="",설정!$C$25,$K7))),0),CEILING(IF(설정!$C$26="원가 가산",$L7*(1+IF($K7="",설정!$C$25,$K7)),$I7/(1-IF($J7="",설정!$C$24,$J7)-IF($K7="",설정!$C$25,$K7))),설정!$C$27)),0))</f>
        <v>11100</v>
      </c>
      <c r="N7" s="55">
        <v>25000</v>
      </c>
      <c r="O7" s="48">
        <f t="shared" si="0"/>
        <v>25000</v>
      </c>
      <c r="P7" s="48">
        <f>IF($O7="","",IF(설정!$C$26="원가 가산",$I7*IF($J7="",설정!$C$24,$J7),$O7*IF($J7="",설정!$C$24,$J7)))</f>
        <v>2175</v>
      </c>
      <c r="Q7" s="48">
        <f t="shared" si="1"/>
        <v>13825</v>
      </c>
      <c r="R7" s="50">
        <f t="shared" si="2"/>
        <v>0.55300000000000005</v>
      </c>
      <c r="S7" s="50">
        <f t="shared" si="3"/>
        <v>1.2522522522522523</v>
      </c>
      <c r="T7" s="50">
        <f t="shared" si="4"/>
        <v>1.5361111111111114</v>
      </c>
      <c r="U7" s="48">
        <f t="shared" si="5"/>
        <v>12500000</v>
      </c>
      <c r="V7" s="57">
        <f t="shared" si="6"/>
        <v>6912500</v>
      </c>
    </row>
    <row r="8" spans="2:22">
      <c r="B8" s="56"/>
      <c r="C8" s="78"/>
      <c r="D8" s="51"/>
      <c r="E8" s="51"/>
      <c r="F8" s="52"/>
      <c r="G8" s="55"/>
      <c r="H8" s="53"/>
      <c r="I8" s="47" t="str">
        <f>IF($D8="","",IF($D8="수입",IF(N($F8)=0,"",$F8*IF($E8="USD",설정!$C$11,IF($E8="CNY",설정!$C$12,1))*(1+설정!$C$17)),IF(N($G8)=0,"",$G8*(1+설정!$C$23))))</f>
        <v/>
      </c>
      <c r="J8" s="49"/>
      <c r="K8" s="49"/>
      <c r="L8" s="48" t="str">
        <f>IF($I8="","",IFERROR(IF(설정!$C$26="원가 가산",$I8*(1+IF($J8="",설정!$C$24,$J8)),$I8/(1-IF($J8="",설정!$C$24,$J8))),0))</f>
        <v/>
      </c>
      <c r="M8" s="48" t="str">
        <f>IF($I8="","",IFERROR(IF(설정!$C$27&lt;=1,ROUND(IF(설정!$C$26="원가 가산",$L8*(1+IF($K8="",설정!$C$25,$K8)),$I8/(1-IF($J8="",설정!$C$24,$J8)-IF($K8="",설정!$C$25,$K8))),0),CEILING(IF(설정!$C$26="원가 가산",$L8*(1+IF($K8="",설정!$C$25,$K8)),$I8/(1-IF($J8="",설정!$C$24,$J8)-IF($K8="",설정!$C$25,$K8))),설정!$C$27)),0))</f>
        <v/>
      </c>
      <c r="N8" s="55"/>
      <c r="O8" s="48" t="str">
        <f t="shared" si="0"/>
        <v/>
      </c>
      <c r="P8" s="48" t="str">
        <f>IF($O8="","",IF(설정!$C$26="원가 가산",$I8*IF($J8="",설정!$C$24,$J8),$O8*IF($J8="",설정!$C$24,$J8)))</f>
        <v/>
      </c>
      <c r="Q8" s="48" t="str">
        <f t="shared" si="1"/>
        <v/>
      </c>
      <c r="R8" s="50" t="str">
        <f t="shared" si="2"/>
        <v/>
      </c>
      <c r="S8" s="50" t="str">
        <f t="shared" si="3"/>
        <v/>
      </c>
      <c r="T8" s="50" t="str">
        <f t="shared" si="4"/>
        <v/>
      </c>
      <c r="U8" s="48" t="str">
        <f t="shared" si="5"/>
        <v/>
      </c>
      <c r="V8" s="57" t="str">
        <f t="shared" si="6"/>
        <v/>
      </c>
    </row>
    <row r="9" spans="2:22">
      <c r="B9" s="56"/>
      <c r="C9" s="78"/>
      <c r="D9" s="51"/>
      <c r="E9" s="51"/>
      <c r="F9" s="52"/>
      <c r="G9" s="55"/>
      <c r="H9" s="53"/>
      <c r="I9" s="47" t="str">
        <f>IF($D9="","",IF($D9="수입",IF(N($F9)=0,"",$F9*IF($E9="USD",설정!$C$11,IF($E9="CNY",설정!$C$12,1))*(1+설정!$C$17)),IF(N($G9)=0,"",$G9*(1+설정!$C$23))))</f>
        <v/>
      </c>
      <c r="J9" s="49"/>
      <c r="K9" s="49"/>
      <c r="L9" s="48" t="str">
        <f>IF($I9="","",IFERROR(IF(설정!$C$26="원가 가산",$I9*(1+IF($J9="",설정!$C$24,$J9)),$I9/(1-IF($J9="",설정!$C$24,$J9))),0))</f>
        <v/>
      </c>
      <c r="M9" s="48" t="str">
        <f>IF($I9="","",IFERROR(IF(설정!$C$27&lt;=1,ROUND(IF(설정!$C$26="원가 가산",$L9*(1+IF($K9="",설정!$C$25,$K9)),$I9/(1-IF($J9="",설정!$C$24,$J9)-IF($K9="",설정!$C$25,$K9))),0),CEILING(IF(설정!$C$26="원가 가산",$L9*(1+IF($K9="",설정!$C$25,$K9)),$I9/(1-IF($J9="",설정!$C$24,$J9)-IF($K9="",설정!$C$25,$K9))),설정!$C$27)),0))</f>
        <v/>
      </c>
      <c r="N9" s="55"/>
      <c r="O9" s="48" t="str">
        <f t="shared" si="0"/>
        <v/>
      </c>
      <c r="P9" s="48" t="str">
        <f>IF($O9="","",IF(설정!$C$26="원가 가산",$I9*IF($J9="",설정!$C$24,$J9),$O9*IF($J9="",설정!$C$24,$J9)))</f>
        <v/>
      </c>
      <c r="Q9" s="48" t="str">
        <f t="shared" si="1"/>
        <v/>
      </c>
      <c r="R9" s="50" t="str">
        <f t="shared" si="2"/>
        <v/>
      </c>
      <c r="S9" s="50" t="str">
        <f t="shared" si="3"/>
        <v/>
      </c>
      <c r="T9" s="50" t="str">
        <f t="shared" si="4"/>
        <v/>
      </c>
      <c r="U9" s="48" t="str">
        <f t="shared" si="5"/>
        <v/>
      </c>
      <c r="V9" s="57" t="str">
        <f t="shared" si="6"/>
        <v/>
      </c>
    </row>
    <row r="10" spans="2:22">
      <c r="B10" s="56"/>
      <c r="C10" s="78"/>
      <c r="D10" s="51"/>
      <c r="E10" s="51"/>
      <c r="F10" s="52"/>
      <c r="G10" s="55"/>
      <c r="H10" s="53"/>
      <c r="I10" s="47" t="str">
        <f>IF($D10="","",IF($D10="수입",IF(N($F10)=0,"",$F10*IF($E10="USD",설정!$C$11,IF($E10="CNY",설정!$C$12,1))*(1+설정!$C$17)),IF(N($G10)=0,"",$G10*(1+설정!$C$23))))</f>
        <v/>
      </c>
      <c r="J10" s="49"/>
      <c r="K10" s="49"/>
      <c r="L10" s="48" t="str">
        <f>IF($I10="","",IFERROR(IF(설정!$C$26="원가 가산",$I10*(1+IF($J10="",설정!$C$24,$J10)),$I10/(1-IF($J10="",설정!$C$24,$J10))),0))</f>
        <v/>
      </c>
      <c r="M10" s="48" t="str">
        <f>IF($I10="","",IFERROR(IF(설정!$C$27&lt;=1,ROUND(IF(설정!$C$26="원가 가산",$L10*(1+IF($K10="",설정!$C$25,$K10)),$I10/(1-IF($J10="",설정!$C$24,$J10)-IF($K10="",설정!$C$25,$K10))),0),CEILING(IF(설정!$C$26="원가 가산",$L10*(1+IF($K10="",설정!$C$25,$K10)),$I10/(1-IF($J10="",설정!$C$24,$J10)-IF($K10="",설정!$C$25,$K10))),설정!$C$27)),0))</f>
        <v/>
      </c>
      <c r="N10" s="55"/>
      <c r="O10" s="48" t="str">
        <f t="shared" si="0"/>
        <v/>
      </c>
      <c r="P10" s="48" t="str">
        <f>IF($O10="","",IF(설정!$C$26="원가 가산",$I10*IF($J10="",설정!$C$24,$J10),$O10*IF($J10="",설정!$C$24,$J10)))</f>
        <v/>
      </c>
      <c r="Q10" s="48" t="str">
        <f t="shared" si="1"/>
        <v/>
      </c>
      <c r="R10" s="50" t="str">
        <f t="shared" si="2"/>
        <v/>
      </c>
      <c r="S10" s="50" t="str">
        <f t="shared" si="3"/>
        <v/>
      </c>
      <c r="T10" s="50" t="str">
        <f t="shared" si="4"/>
        <v/>
      </c>
      <c r="U10" s="48" t="str">
        <f t="shared" si="5"/>
        <v/>
      </c>
      <c r="V10" s="57" t="str">
        <f t="shared" si="6"/>
        <v/>
      </c>
    </row>
    <row r="11" spans="2:22">
      <c r="B11" s="56"/>
      <c r="C11" s="78"/>
      <c r="D11" s="51"/>
      <c r="E11" s="51"/>
      <c r="F11" s="52"/>
      <c r="G11" s="55"/>
      <c r="H11" s="53"/>
      <c r="I11" s="47" t="str">
        <f>IF($D11="","",IF($D11="수입",IF(N($F11)=0,"",$F11*IF($E11="USD",설정!$C$11,IF($E11="CNY",설정!$C$12,1))*(1+설정!$C$17)),IF(N($G11)=0,"",$G11*(1+설정!$C$23))))</f>
        <v/>
      </c>
      <c r="J11" s="49"/>
      <c r="K11" s="49"/>
      <c r="L11" s="48" t="str">
        <f>IF($I11="","",IFERROR(IF(설정!$C$26="원가 가산",$I11*(1+IF($J11="",설정!$C$24,$J11)),$I11/(1-IF($J11="",설정!$C$24,$J11))),0))</f>
        <v/>
      </c>
      <c r="M11" s="48" t="str">
        <f>IF($I11="","",IFERROR(IF(설정!$C$27&lt;=1,ROUND(IF(설정!$C$26="원가 가산",$L11*(1+IF($K11="",설정!$C$25,$K11)),$I11/(1-IF($J11="",설정!$C$24,$J11)-IF($K11="",설정!$C$25,$K11))),0),CEILING(IF(설정!$C$26="원가 가산",$L11*(1+IF($K11="",설정!$C$25,$K11)),$I11/(1-IF($J11="",설정!$C$24,$J11)-IF($K11="",설정!$C$25,$K11))),설정!$C$27)),0))</f>
        <v/>
      </c>
      <c r="N11" s="55"/>
      <c r="O11" s="48" t="str">
        <f t="shared" si="0"/>
        <v/>
      </c>
      <c r="P11" s="48" t="str">
        <f>IF($O11="","",IF(설정!$C$26="원가 가산",$I11*IF($J11="",설정!$C$24,$J11),$O11*IF($J11="",설정!$C$24,$J11)))</f>
        <v/>
      </c>
      <c r="Q11" s="48" t="str">
        <f t="shared" si="1"/>
        <v/>
      </c>
      <c r="R11" s="50" t="str">
        <f t="shared" si="2"/>
        <v/>
      </c>
      <c r="S11" s="50" t="str">
        <f t="shared" si="3"/>
        <v/>
      </c>
      <c r="T11" s="50" t="str">
        <f t="shared" si="4"/>
        <v/>
      </c>
      <c r="U11" s="48" t="str">
        <f t="shared" si="5"/>
        <v/>
      </c>
      <c r="V11" s="57" t="str">
        <f t="shared" si="6"/>
        <v/>
      </c>
    </row>
    <row r="12" spans="2:22">
      <c r="B12" s="56"/>
      <c r="C12" s="78"/>
      <c r="D12" s="51"/>
      <c r="E12" s="51"/>
      <c r="F12" s="52"/>
      <c r="G12" s="55"/>
      <c r="H12" s="53"/>
      <c r="I12" s="47" t="str">
        <f>IF($D12="","",IF($D12="수입",IF(N($F12)=0,"",$F12*IF($E12="USD",설정!$C$11,IF($E12="CNY",설정!$C$12,1))*(1+설정!$C$17)),IF(N($G12)=0,"",$G12*(1+설정!$C$23))))</f>
        <v/>
      </c>
      <c r="J12" s="49"/>
      <c r="K12" s="49"/>
      <c r="L12" s="48" t="str">
        <f>IF($I12="","",IFERROR(IF(설정!$C$26="원가 가산",$I12*(1+IF($J12="",설정!$C$24,$J12)),$I12/(1-IF($J12="",설정!$C$24,$J12))),0))</f>
        <v/>
      </c>
      <c r="M12" s="48" t="str">
        <f>IF($I12="","",IFERROR(IF(설정!$C$27&lt;=1,ROUND(IF(설정!$C$26="원가 가산",$L12*(1+IF($K12="",설정!$C$25,$K12)),$I12/(1-IF($J12="",설정!$C$24,$J12)-IF($K12="",설정!$C$25,$K12))),0),CEILING(IF(설정!$C$26="원가 가산",$L12*(1+IF($K12="",설정!$C$25,$K12)),$I12/(1-IF($J12="",설정!$C$24,$J12)-IF($K12="",설정!$C$25,$K12))),설정!$C$27)),0))</f>
        <v/>
      </c>
      <c r="N12" s="55"/>
      <c r="O12" s="48" t="str">
        <f t="shared" si="0"/>
        <v/>
      </c>
      <c r="P12" s="48" t="str">
        <f>IF($O12="","",IF(설정!$C$26="원가 가산",$I12*IF($J12="",설정!$C$24,$J12),$O12*IF($J12="",설정!$C$24,$J12)))</f>
        <v/>
      </c>
      <c r="Q12" s="48" t="str">
        <f t="shared" si="1"/>
        <v/>
      </c>
      <c r="R12" s="50" t="str">
        <f t="shared" si="2"/>
        <v/>
      </c>
      <c r="S12" s="50" t="str">
        <f t="shared" si="3"/>
        <v/>
      </c>
      <c r="T12" s="50" t="str">
        <f t="shared" si="4"/>
        <v/>
      </c>
      <c r="U12" s="48" t="str">
        <f t="shared" si="5"/>
        <v/>
      </c>
      <c r="V12" s="57" t="str">
        <f t="shared" si="6"/>
        <v/>
      </c>
    </row>
    <row r="13" spans="2:22">
      <c r="B13" s="56"/>
      <c r="C13" s="78"/>
      <c r="D13" s="51"/>
      <c r="E13" s="51"/>
      <c r="F13" s="52"/>
      <c r="G13" s="55"/>
      <c r="H13" s="53"/>
      <c r="I13" s="47" t="str">
        <f>IF($D13="","",IF($D13="수입",IF(N($F13)=0,"",$F13*IF($E13="USD",설정!$C$11,IF($E13="CNY",설정!$C$12,1))*(1+설정!$C$17)),IF(N($G13)=0,"",$G13*(1+설정!$C$23))))</f>
        <v/>
      </c>
      <c r="J13" s="49"/>
      <c r="K13" s="49"/>
      <c r="L13" s="48" t="str">
        <f>IF($I13="","",IFERROR(IF(설정!$C$26="원가 가산",$I13*(1+IF($J13="",설정!$C$24,$J13)),$I13/(1-IF($J13="",설정!$C$24,$J13))),0))</f>
        <v/>
      </c>
      <c r="M13" s="48" t="str">
        <f>IF($I13="","",IFERROR(IF(설정!$C$27&lt;=1,ROUND(IF(설정!$C$26="원가 가산",$L13*(1+IF($K13="",설정!$C$25,$K13)),$I13/(1-IF($J13="",설정!$C$24,$J13)-IF($K13="",설정!$C$25,$K13))),0),CEILING(IF(설정!$C$26="원가 가산",$L13*(1+IF($K13="",설정!$C$25,$K13)),$I13/(1-IF($J13="",설정!$C$24,$J13)-IF($K13="",설정!$C$25,$K13))),설정!$C$27)),0))</f>
        <v/>
      </c>
      <c r="N13" s="55"/>
      <c r="O13" s="48" t="str">
        <f t="shared" si="0"/>
        <v/>
      </c>
      <c r="P13" s="48" t="str">
        <f>IF($O13="","",IF(설정!$C$26="원가 가산",$I13*IF($J13="",설정!$C$24,$J13),$O13*IF($J13="",설정!$C$24,$J13)))</f>
        <v/>
      </c>
      <c r="Q13" s="48" t="str">
        <f t="shared" si="1"/>
        <v/>
      </c>
      <c r="R13" s="50" t="str">
        <f t="shared" si="2"/>
        <v/>
      </c>
      <c r="S13" s="50" t="str">
        <f t="shared" si="3"/>
        <v/>
      </c>
      <c r="T13" s="50" t="str">
        <f t="shared" si="4"/>
        <v/>
      </c>
      <c r="U13" s="48" t="str">
        <f t="shared" si="5"/>
        <v/>
      </c>
      <c r="V13" s="57" t="str">
        <f t="shared" si="6"/>
        <v/>
      </c>
    </row>
    <row r="14" spans="2:22">
      <c r="B14" s="56"/>
      <c r="C14" s="78"/>
      <c r="D14" s="51"/>
      <c r="E14" s="51"/>
      <c r="F14" s="52"/>
      <c r="G14" s="55"/>
      <c r="H14" s="53"/>
      <c r="I14" s="47" t="str">
        <f>IF($D14="","",IF($D14="수입",IF(N($F14)=0,"",$F14*IF($E14="USD",설정!$C$11,IF($E14="CNY",설정!$C$12,1))*(1+설정!$C$17)),IF(N($G14)=0,"",$G14*(1+설정!$C$23))))</f>
        <v/>
      </c>
      <c r="J14" s="49"/>
      <c r="K14" s="49"/>
      <c r="L14" s="48" t="str">
        <f>IF($I14="","",IFERROR(IF(설정!$C$26="원가 가산",$I14*(1+IF($J14="",설정!$C$24,$J14)),$I14/(1-IF($J14="",설정!$C$24,$J14))),0))</f>
        <v/>
      </c>
      <c r="M14" s="48" t="str">
        <f>IF($I14="","",IFERROR(IF(설정!$C$27&lt;=1,ROUND(IF(설정!$C$26="원가 가산",$L14*(1+IF($K14="",설정!$C$25,$K14)),$I14/(1-IF($J14="",설정!$C$24,$J14)-IF($K14="",설정!$C$25,$K14))),0),CEILING(IF(설정!$C$26="원가 가산",$L14*(1+IF($K14="",설정!$C$25,$K14)),$I14/(1-IF($J14="",설정!$C$24,$J14)-IF($K14="",설정!$C$25,$K14))),설정!$C$27)),0))</f>
        <v/>
      </c>
      <c r="N14" s="55"/>
      <c r="O14" s="48" t="str">
        <f t="shared" si="0"/>
        <v/>
      </c>
      <c r="P14" s="48" t="str">
        <f>IF($O14="","",IF(설정!$C$26="원가 가산",$I14*IF($J14="",설정!$C$24,$J14),$O14*IF($J14="",설정!$C$24,$J14)))</f>
        <v/>
      </c>
      <c r="Q14" s="48" t="str">
        <f t="shared" si="1"/>
        <v/>
      </c>
      <c r="R14" s="50" t="str">
        <f t="shared" si="2"/>
        <v/>
      </c>
      <c r="S14" s="50" t="str">
        <f t="shared" si="3"/>
        <v/>
      </c>
      <c r="T14" s="50" t="str">
        <f t="shared" si="4"/>
        <v/>
      </c>
      <c r="U14" s="48" t="str">
        <f t="shared" si="5"/>
        <v/>
      </c>
      <c r="V14" s="57" t="str">
        <f t="shared" si="6"/>
        <v/>
      </c>
    </row>
    <row r="15" spans="2:22">
      <c r="B15" s="56"/>
      <c r="C15" s="78"/>
      <c r="D15" s="51"/>
      <c r="E15" s="51"/>
      <c r="F15" s="52"/>
      <c r="G15" s="55"/>
      <c r="H15" s="53"/>
      <c r="I15" s="47" t="str">
        <f>IF($D15="","",IF($D15="수입",IF(N($F15)=0,"",$F15*IF($E15="USD",설정!$C$11,IF($E15="CNY",설정!$C$12,1))*(1+설정!$C$17)),IF(N($G15)=0,"",$G15*(1+설정!$C$23))))</f>
        <v/>
      </c>
      <c r="J15" s="49"/>
      <c r="K15" s="49"/>
      <c r="L15" s="48" t="str">
        <f>IF($I15="","",IFERROR(IF(설정!$C$26="원가 가산",$I15*(1+IF($J15="",설정!$C$24,$J15)),$I15/(1-IF($J15="",설정!$C$24,$J15))),0))</f>
        <v/>
      </c>
      <c r="M15" s="48" t="str">
        <f>IF($I15="","",IFERROR(IF(설정!$C$27&lt;=1,ROUND(IF(설정!$C$26="원가 가산",$L15*(1+IF($K15="",설정!$C$25,$K15)),$I15/(1-IF($J15="",설정!$C$24,$J15)-IF($K15="",설정!$C$25,$K15))),0),CEILING(IF(설정!$C$26="원가 가산",$L15*(1+IF($K15="",설정!$C$25,$K15)),$I15/(1-IF($J15="",설정!$C$24,$J15)-IF($K15="",설정!$C$25,$K15))),설정!$C$27)),0))</f>
        <v/>
      </c>
      <c r="N15" s="55"/>
      <c r="O15" s="48" t="str">
        <f t="shared" si="0"/>
        <v/>
      </c>
      <c r="P15" s="48" t="str">
        <f>IF($O15="","",IF(설정!$C$26="원가 가산",$I15*IF($J15="",설정!$C$24,$J15),$O15*IF($J15="",설정!$C$24,$J15)))</f>
        <v/>
      </c>
      <c r="Q15" s="48" t="str">
        <f t="shared" si="1"/>
        <v/>
      </c>
      <c r="R15" s="50" t="str">
        <f t="shared" si="2"/>
        <v/>
      </c>
      <c r="S15" s="50" t="str">
        <f t="shared" si="3"/>
        <v/>
      </c>
      <c r="T15" s="50" t="str">
        <f t="shared" si="4"/>
        <v/>
      </c>
      <c r="U15" s="48" t="str">
        <f t="shared" si="5"/>
        <v/>
      </c>
      <c r="V15" s="57" t="str">
        <f t="shared" si="6"/>
        <v/>
      </c>
    </row>
    <row r="16" spans="2:22">
      <c r="B16" s="56"/>
      <c r="C16" s="78"/>
      <c r="D16" s="51"/>
      <c r="E16" s="51"/>
      <c r="F16" s="52"/>
      <c r="G16" s="55"/>
      <c r="H16" s="53"/>
      <c r="I16" s="47" t="str">
        <f>IF($D16="","",IF($D16="수입",IF(N($F16)=0,"",$F16*IF($E16="USD",설정!$C$11,IF($E16="CNY",설정!$C$12,1))*(1+설정!$C$17)),IF(N($G16)=0,"",$G16*(1+설정!$C$23))))</f>
        <v/>
      </c>
      <c r="J16" s="49"/>
      <c r="K16" s="49"/>
      <c r="L16" s="48" t="str">
        <f>IF($I16="","",IFERROR(IF(설정!$C$26="원가 가산",$I16*(1+IF($J16="",설정!$C$24,$J16)),$I16/(1-IF($J16="",설정!$C$24,$J16))),0))</f>
        <v/>
      </c>
      <c r="M16" s="48" t="str">
        <f>IF($I16="","",IFERROR(IF(설정!$C$27&lt;=1,ROUND(IF(설정!$C$26="원가 가산",$L16*(1+IF($K16="",설정!$C$25,$K16)),$I16/(1-IF($J16="",설정!$C$24,$J16)-IF($K16="",설정!$C$25,$K16))),0),CEILING(IF(설정!$C$26="원가 가산",$L16*(1+IF($K16="",설정!$C$25,$K16)),$I16/(1-IF($J16="",설정!$C$24,$J16)-IF($K16="",설정!$C$25,$K16))),설정!$C$27)),0))</f>
        <v/>
      </c>
      <c r="N16" s="55"/>
      <c r="O16" s="48" t="str">
        <f t="shared" si="0"/>
        <v/>
      </c>
      <c r="P16" s="48" t="str">
        <f>IF($O16="","",IF(설정!$C$26="원가 가산",$I16*IF($J16="",설정!$C$24,$J16),$O16*IF($J16="",설정!$C$24,$J16)))</f>
        <v/>
      </c>
      <c r="Q16" s="48" t="str">
        <f t="shared" si="1"/>
        <v/>
      </c>
      <c r="R16" s="50" t="str">
        <f t="shared" si="2"/>
        <v/>
      </c>
      <c r="S16" s="50" t="str">
        <f t="shared" si="3"/>
        <v/>
      </c>
      <c r="T16" s="50" t="str">
        <f t="shared" si="4"/>
        <v/>
      </c>
      <c r="U16" s="48" t="str">
        <f t="shared" si="5"/>
        <v/>
      </c>
      <c r="V16" s="57" t="str">
        <f t="shared" si="6"/>
        <v/>
      </c>
    </row>
    <row r="17" spans="2:22">
      <c r="B17" s="56"/>
      <c r="C17" s="78"/>
      <c r="D17" s="51"/>
      <c r="E17" s="51"/>
      <c r="F17" s="52"/>
      <c r="G17" s="55"/>
      <c r="H17" s="53"/>
      <c r="I17" s="47" t="str">
        <f>IF($D17="","",IF($D17="수입",IF(N($F17)=0,"",$F17*IF($E17="USD",설정!$C$11,IF($E17="CNY",설정!$C$12,1))*(1+설정!$C$17)),IF(N($G17)=0,"",$G17*(1+설정!$C$23))))</f>
        <v/>
      </c>
      <c r="J17" s="49"/>
      <c r="K17" s="49"/>
      <c r="L17" s="48" t="str">
        <f>IF($I17="","",IFERROR(IF(설정!$C$26="원가 가산",$I17*(1+IF($J17="",설정!$C$24,$J17)),$I17/(1-IF($J17="",설정!$C$24,$J17))),0))</f>
        <v/>
      </c>
      <c r="M17" s="48" t="str">
        <f>IF($I17="","",IFERROR(IF(설정!$C$27&lt;=1,ROUND(IF(설정!$C$26="원가 가산",$L17*(1+IF($K17="",설정!$C$25,$K17)),$I17/(1-IF($J17="",설정!$C$24,$J17)-IF($K17="",설정!$C$25,$K17))),0),CEILING(IF(설정!$C$26="원가 가산",$L17*(1+IF($K17="",설정!$C$25,$K17)),$I17/(1-IF($J17="",설정!$C$24,$J17)-IF($K17="",설정!$C$25,$K17))),설정!$C$27)),0))</f>
        <v/>
      </c>
      <c r="N17" s="55"/>
      <c r="O17" s="48" t="str">
        <f t="shared" si="0"/>
        <v/>
      </c>
      <c r="P17" s="48" t="str">
        <f>IF($O17="","",IF(설정!$C$26="원가 가산",$I17*IF($J17="",설정!$C$24,$J17),$O17*IF($J17="",설정!$C$24,$J17)))</f>
        <v/>
      </c>
      <c r="Q17" s="48" t="str">
        <f t="shared" si="1"/>
        <v/>
      </c>
      <c r="R17" s="50" t="str">
        <f t="shared" si="2"/>
        <v/>
      </c>
      <c r="S17" s="50" t="str">
        <f t="shared" si="3"/>
        <v/>
      </c>
      <c r="T17" s="50" t="str">
        <f t="shared" si="4"/>
        <v/>
      </c>
      <c r="U17" s="48" t="str">
        <f t="shared" si="5"/>
        <v/>
      </c>
      <c r="V17" s="57" t="str">
        <f t="shared" si="6"/>
        <v/>
      </c>
    </row>
    <row r="18" spans="2:22">
      <c r="B18" s="56"/>
      <c r="C18" s="78"/>
      <c r="D18" s="51"/>
      <c r="E18" s="51"/>
      <c r="F18" s="52"/>
      <c r="G18" s="55"/>
      <c r="H18" s="53"/>
      <c r="I18" s="47" t="str">
        <f>IF($D18="","",IF($D18="수입",IF(N($F18)=0,"",$F18*IF($E18="USD",설정!$C$11,IF($E18="CNY",설정!$C$12,1))*(1+설정!$C$17)),IF(N($G18)=0,"",$G18*(1+설정!$C$23))))</f>
        <v/>
      </c>
      <c r="J18" s="49"/>
      <c r="K18" s="49"/>
      <c r="L18" s="48" t="str">
        <f>IF($I18="","",IFERROR(IF(설정!$C$26="원가 가산",$I18*(1+IF($J18="",설정!$C$24,$J18)),$I18/(1-IF($J18="",설정!$C$24,$J18))),0))</f>
        <v/>
      </c>
      <c r="M18" s="48" t="str">
        <f>IF($I18="","",IFERROR(IF(설정!$C$27&lt;=1,ROUND(IF(설정!$C$26="원가 가산",$L18*(1+IF($K18="",설정!$C$25,$K18)),$I18/(1-IF($J18="",설정!$C$24,$J18)-IF($K18="",설정!$C$25,$K18))),0),CEILING(IF(설정!$C$26="원가 가산",$L18*(1+IF($K18="",설정!$C$25,$K18)),$I18/(1-IF($J18="",설정!$C$24,$J18)-IF($K18="",설정!$C$25,$K18))),설정!$C$27)),0))</f>
        <v/>
      </c>
      <c r="N18" s="55"/>
      <c r="O18" s="48" t="str">
        <f t="shared" si="0"/>
        <v/>
      </c>
      <c r="P18" s="48" t="str">
        <f>IF($O18="","",IF(설정!$C$26="원가 가산",$I18*IF($J18="",설정!$C$24,$J18),$O18*IF($J18="",설정!$C$24,$J18)))</f>
        <v/>
      </c>
      <c r="Q18" s="48" t="str">
        <f t="shared" si="1"/>
        <v/>
      </c>
      <c r="R18" s="50" t="str">
        <f t="shared" si="2"/>
        <v/>
      </c>
      <c r="S18" s="50" t="str">
        <f t="shared" si="3"/>
        <v/>
      </c>
      <c r="T18" s="50" t="str">
        <f t="shared" si="4"/>
        <v/>
      </c>
      <c r="U18" s="48" t="str">
        <f t="shared" si="5"/>
        <v/>
      </c>
      <c r="V18" s="57" t="str">
        <f t="shared" si="6"/>
        <v/>
      </c>
    </row>
    <row r="19" spans="2:22">
      <c r="B19" s="56"/>
      <c r="C19" s="78"/>
      <c r="D19" s="51"/>
      <c r="E19" s="51"/>
      <c r="F19" s="52"/>
      <c r="G19" s="55"/>
      <c r="H19" s="53"/>
      <c r="I19" s="47" t="str">
        <f>IF($D19="","",IF($D19="수입",IF(N($F19)=0,"",$F19*IF($E19="USD",설정!$C$11,IF($E19="CNY",설정!$C$12,1))*(1+설정!$C$17)),IF(N($G19)=0,"",$G19*(1+설정!$C$23))))</f>
        <v/>
      </c>
      <c r="J19" s="49"/>
      <c r="K19" s="49"/>
      <c r="L19" s="48" t="str">
        <f>IF($I19="","",IFERROR(IF(설정!$C$26="원가 가산",$I19*(1+IF($J19="",설정!$C$24,$J19)),$I19/(1-IF($J19="",설정!$C$24,$J19))),0))</f>
        <v/>
      </c>
      <c r="M19" s="48" t="str">
        <f>IF($I19="","",IFERROR(IF(설정!$C$27&lt;=1,ROUND(IF(설정!$C$26="원가 가산",$L19*(1+IF($K19="",설정!$C$25,$K19)),$I19/(1-IF($J19="",설정!$C$24,$J19)-IF($K19="",설정!$C$25,$K19))),0),CEILING(IF(설정!$C$26="원가 가산",$L19*(1+IF($K19="",설정!$C$25,$K19)),$I19/(1-IF($J19="",설정!$C$24,$J19)-IF($K19="",설정!$C$25,$K19))),설정!$C$27)),0))</f>
        <v/>
      </c>
      <c r="N19" s="55"/>
      <c r="O19" s="48" t="str">
        <f t="shared" si="0"/>
        <v/>
      </c>
      <c r="P19" s="48" t="str">
        <f>IF($O19="","",IF(설정!$C$26="원가 가산",$I19*IF($J19="",설정!$C$24,$J19),$O19*IF($J19="",설정!$C$24,$J19)))</f>
        <v/>
      </c>
      <c r="Q19" s="48" t="str">
        <f t="shared" si="1"/>
        <v/>
      </c>
      <c r="R19" s="50" t="str">
        <f t="shared" si="2"/>
        <v/>
      </c>
      <c r="S19" s="50" t="str">
        <f t="shared" si="3"/>
        <v/>
      </c>
      <c r="T19" s="50" t="str">
        <f t="shared" si="4"/>
        <v/>
      </c>
      <c r="U19" s="48" t="str">
        <f t="shared" si="5"/>
        <v/>
      </c>
      <c r="V19" s="57" t="str">
        <f t="shared" si="6"/>
        <v/>
      </c>
    </row>
    <row r="20" spans="2:22">
      <c r="B20" s="56"/>
      <c r="C20" s="78"/>
      <c r="D20" s="51"/>
      <c r="E20" s="51"/>
      <c r="F20" s="52"/>
      <c r="G20" s="55"/>
      <c r="H20" s="53"/>
      <c r="I20" s="47" t="str">
        <f>IF($D20="","",IF($D20="수입",IF(N($F20)=0,"",$F20*IF($E20="USD",설정!$C$11,IF($E20="CNY",설정!$C$12,1))*(1+설정!$C$17)),IF(N($G20)=0,"",$G20*(1+설정!$C$23))))</f>
        <v/>
      </c>
      <c r="J20" s="49"/>
      <c r="K20" s="49"/>
      <c r="L20" s="48" t="str">
        <f>IF($I20="","",IFERROR(IF(설정!$C$26="원가 가산",$I20*(1+IF($J20="",설정!$C$24,$J20)),$I20/(1-IF($J20="",설정!$C$24,$J20))),0))</f>
        <v/>
      </c>
      <c r="M20" s="48" t="str">
        <f>IF($I20="","",IFERROR(IF(설정!$C$27&lt;=1,ROUND(IF(설정!$C$26="원가 가산",$L20*(1+IF($K20="",설정!$C$25,$K20)),$I20/(1-IF($J20="",설정!$C$24,$J20)-IF($K20="",설정!$C$25,$K20))),0),CEILING(IF(설정!$C$26="원가 가산",$L20*(1+IF($K20="",설정!$C$25,$K20)),$I20/(1-IF($J20="",설정!$C$24,$J20)-IF($K20="",설정!$C$25,$K20))),설정!$C$27)),0))</f>
        <v/>
      </c>
      <c r="N20" s="55"/>
      <c r="O20" s="48" t="str">
        <f t="shared" si="0"/>
        <v/>
      </c>
      <c r="P20" s="48" t="str">
        <f>IF($O20="","",IF(설정!$C$26="원가 가산",$I20*IF($J20="",설정!$C$24,$J20),$O20*IF($J20="",설정!$C$24,$J20)))</f>
        <v/>
      </c>
      <c r="Q20" s="48" t="str">
        <f t="shared" si="1"/>
        <v/>
      </c>
      <c r="R20" s="50" t="str">
        <f t="shared" si="2"/>
        <v/>
      </c>
      <c r="S20" s="50" t="str">
        <f t="shared" si="3"/>
        <v/>
      </c>
      <c r="T20" s="50" t="str">
        <f t="shared" si="4"/>
        <v/>
      </c>
      <c r="U20" s="48" t="str">
        <f t="shared" si="5"/>
        <v/>
      </c>
      <c r="V20" s="57" t="str">
        <f t="shared" si="6"/>
        <v/>
      </c>
    </row>
    <row r="21" spans="2:22">
      <c r="B21" s="56"/>
      <c r="C21" s="78"/>
      <c r="D21" s="51"/>
      <c r="E21" s="51"/>
      <c r="F21" s="52"/>
      <c r="G21" s="55"/>
      <c r="H21" s="53"/>
      <c r="I21" s="47" t="str">
        <f>IF($D21="","",IF($D21="수입",IF(N($F21)=0,"",$F21*IF($E21="USD",설정!$C$11,IF($E21="CNY",설정!$C$12,1))*(1+설정!$C$17)),IF(N($G21)=0,"",$G21*(1+설정!$C$23))))</f>
        <v/>
      </c>
      <c r="J21" s="49"/>
      <c r="K21" s="49"/>
      <c r="L21" s="48" t="str">
        <f>IF($I21="","",IFERROR(IF(설정!$C$26="원가 가산",$I21*(1+IF($J21="",설정!$C$24,$J21)),$I21/(1-IF($J21="",설정!$C$24,$J21))),0))</f>
        <v/>
      </c>
      <c r="M21" s="48" t="str">
        <f>IF($I21="","",IFERROR(IF(설정!$C$27&lt;=1,ROUND(IF(설정!$C$26="원가 가산",$L21*(1+IF($K21="",설정!$C$25,$K21)),$I21/(1-IF($J21="",설정!$C$24,$J21)-IF($K21="",설정!$C$25,$K21))),0),CEILING(IF(설정!$C$26="원가 가산",$L21*(1+IF($K21="",설정!$C$25,$K21)),$I21/(1-IF($J21="",설정!$C$24,$J21)-IF($K21="",설정!$C$25,$K21))),설정!$C$27)),0))</f>
        <v/>
      </c>
      <c r="N21" s="55"/>
      <c r="O21" s="48" t="str">
        <f t="shared" si="0"/>
        <v/>
      </c>
      <c r="P21" s="48" t="str">
        <f>IF($O21="","",IF(설정!$C$26="원가 가산",$I21*IF($J21="",설정!$C$24,$J21),$O21*IF($J21="",설정!$C$24,$J21)))</f>
        <v/>
      </c>
      <c r="Q21" s="48" t="str">
        <f t="shared" si="1"/>
        <v/>
      </c>
      <c r="R21" s="50" t="str">
        <f t="shared" si="2"/>
        <v/>
      </c>
      <c r="S21" s="50" t="str">
        <f t="shared" si="3"/>
        <v/>
      </c>
      <c r="T21" s="50" t="str">
        <f t="shared" si="4"/>
        <v/>
      </c>
      <c r="U21" s="48" t="str">
        <f t="shared" si="5"/>
        <v/>
      </c>
      <c r="V21" s="57" t="str">
        <f t="shared" si="6"/>
        <v/>
      </c>
    </row>
    <row r="22" spans="2:22">
      <c r="B22" s="56"/>
      <c r="C22" s="78"/>
      <c r="D22" s="51"/>
      <c r="E22" s="51"/>
      <c r="F22" s="52"/>
      <c r="G22" s="55"/>
      <c r="H22" s="53"/>
      <c r="I22" s="47" t="str">
        <f>IF($D22="","",IF($D22="수입",IF(N($F22)=0,"",$F22*IF($E22="USD",설정!$C$11,IF($E22="CNY",설정!$C$12,1))*(1+설정!$C$17)),IF(N($G22)=0,"",$G22*(1+설정!$C$23))))</f>
        <v/>
      </c>
      <c r="J22" s="49"/>
      <c r="K22" s="49"/>
      <c r="L22" s="48" t="str">
        <f>IF($I22="","",IFERROR(IF(설정!$C$26="원가 가산",$I22*(1+IF($J22="",설정!$C$24,$J22)),$I22/(1-IF($J22="",설정!$C$24,$J22))),0))</f>
        <v/>
      </c>
      <c r="M22" s="48" t="str">
        <f>IF($I22="","",IFERROR(IF(설정!$C$27&lt;=1,ROUND(IF(설정!$C$26="원가 가산",$L22*(1+IF($K22="",설정!$C$25,$K22)),$I22/(1-IF($J22="",설정!$C$24,$J22)-IF($K22="",설정!$C$25,$K22))),0),CEILING(IF(설정!$C$26="원가 가산",$L22*(1+IF($K22="",설정!$C$25,$K22)),$I22/(1-IF($J22="",설정!$C$24,$J22)-IF($K22="",설정!$C$25,$K22))),설정!$C$27)),0))</f>
        <v/>
      </c>
      <c r="N22" s="55"/>
      <c r="O22" s="48" t="str">
        <f t="shared" si="0"/>
        <v/>
      </c>
      <c r="P22" s="48" t="str">
        <f>IF($O22="","",IF(설정!$C$26="원가 가산",$I22*IF($J22="",설정!$C$24,$J22),$O22*IF($J22="",설정!$C$24,$J22)))</f>
        <v/>
      </c>
      <c r="Q22" s="48" t="str">
        <f t="shared" si="1"/>
        <v/>
      </c>
      <c r="R22" s="50" t="str">
        <f t="shared" si="2"/>
        <v/>
      </c>
      <c r="S22" s="50" t="str">
        <f t="shared" si="3"/>
        <v/>
      </c>
      <c r="T22" s="50" t="str">
        <f t="shared" si="4"/>
        <v/>
      </c>
      <c r="U22" s="48" t="str">
        <f t="shared" si="5"/>
        <v/>
      </c>
      <c r="V22" s="57" t="str">
        <f t="shared" si="6"/>
        <v/>
      </c>
    </row>
    <row r="23" spans="2:22">
      <c r="B23" s="56"/>
      <c r="C23" s="78"/>
      <c r="D23" s="51"/>
      <c r="E23" s="51"/>
      <c r="F23" s="52"/>
      <c r="G23" s="55"/>
      <c r="H23" s="53"/>
      <c r="I23" s="47" t="str">
        <f>IF($D23="","",IF($D23="수입",IF(N($F23)=0,"",$F23*IF($E23="USD",설정!$C$11,IF($E23="CNY",설정!$C$12,1))*(1+설정!$C$17)),IF(N($G23)=0,"",$G23*(1+설정!$C$23))))</f>
        <v/>
      </c>
      <c r="J23" s="49"/>
      <c r="K23" s="49"/>
      <c r="L23" s="48" t="str">
        <f>IF($I23="","",IFERROR(IF(설정!$C$26="원가 가산",$I23*(1+IF($J23="",설정!$C$24,$J23)),$I23/(1-IF($J23="",설정!$C$24,$J23))),0))</f>
        <v/>
      </c>
      <c r="M23" s="48" t="str">
        <f>IF($I23="","",IFERROR(IF(설정!$C$27&lt;=1,ROUND(IF(설정!$C$26="원가 가산",$L23*(1+IF($K23="",설정!$C$25,$K23)),$I23/(1-IF($J23="",설정!$C$24,$J23)-IF($K23="",설정!$C$25,$K23))),0),CEILING(IF(설정!$C$26="원가 가산",$L23*(1+IF($K23="",설정!$C$25,$K23)),$I23/(1-IF($J23="",설정!$C$24,$J23)-IF($K23="",설정!$C$25,$K23))),설정!$C$27)),0))</f>
        <v/>
      </c>
      <c r="N23" s="55"/>
      <c r="O23" s="48" t="str">
        <f t="shared" si="0"/>
        <v/>
      </c>
      <c r="P23" s="48" t="str">
        <f>IF($O23="","",IF(설정!$C$26="원가 가산",$I23*IF($J23="",설정!$C$24,$J23),$O23*IF($J23="",설정!$C$24,$J23)))</f>
        <v/>
      </c>
      <c r="Q23" s="48" t="str">
        <f t="shared" si="1"/>
        <v/>
      </c>
      <c r="R23" s="50" t="str">
        <f t="shared" si="2"/>
        <v/>
      </c>
      <c r="S23" s="50" t="str">
        <f t="shared" si="3"/>
        <v/>
      </c>
      <c r="T23" s="50" t="str">
        <f t="shared" si="4"/>
        <v/>
      </c>
      <c r="U23" s="48" t="str">
        <f t="shared" si="5"/>
        <v/>
      </c>
      <c r="V23" s="57" t="str">
        <f t="shared" si="6"/>
        <v/>
      </c>
    </row>
    <row r="24" spans="2:22">
      <c r="B24" s="56"/>
      <c r="C24" s="78"/>
      <c r="D24" s="51"/>
      <c r="E24" s="51"/>
      <c r="F24" s="52"/>
      <c r="G24" s="55"/>
      <c r="H24" s="53"/>
      <c r="I24" s="47" t="str">
        <f>IF($D24="","",IF($D24="수입",IF(N($F24)=0,"",$F24*IF($E24="USD",설정!$C$11,IF($E24="CNY",설정!$C$12,1))*(1+설정!$C$17)),IF(N($G24)=0,"",$G24*(1+설정!$C$23))))</f>
        <v/>
      </c>
      <c r="J24" s="49"/>
      <c r="K24" s="49"/>
      <c r="L24" s="48" t="str">
        <f>IF($I24="","",IFERROR(IF(설정!$C$26="원가 가산",$I24*(1+IF($J24="",설정!$C$24,$J24)),$I24/(1-IF($J24="",설정!$C$24,$J24))),0))</f>
        <v/>
      </c>
      <c r="M24" s="48" t="str">
        <f>IF($I24="","",IFERROR(IF(설정!$C$27&lt;=1,ROUND(IF(설정!$C$26="원가 가산",$L24*(1+IF($K24="",설정!$C$25,$K24)),$I24/(1-IF($J24="",설정!$C$24,$J24)-IF($K24="",설정!$C$25,$K24))),0),CEILING(IF(설정!$C$26="원가 가산",$L24*(1+IF($K24="",설정!$C$25,$K24)),$I24/(1-IF($J24="",설정!$C$24,$J24)-IF($K24="",설정!$C$25,$K24))),설정!$C$27)),0))</f>
        <v/>
      </c>
      <c r="N24" s="55"/>
      <c r="O24" s="48" t="str">
        <f t="shared" si="0"/>
        <v/>
      </c>
      <c r="P24" s="48" t="str">
        <f>IF($O24="","",IF(설정!$C$26="원가 가산",$I24*IF($J24="",설정!$C$24,$J24),$O24*IF($J24="",설정!$C$24,$J24)))</f>
        <v/>
      </c>
      <c r="Q24" s="48" t="str">
        <f t="shared" si="1"/>
        <v/>
      </c>
      <c r="R24" s="50" t="str">
        <f t="shared" si="2"/>
        <v/>
      </c>
      <c r="S24" s="50" t="str">
        <f t="shared" si="3"/>
        <v/>
      </c>
      <c r="T24" s="50" t="str">
        <f t="shared" si="4"/>
        <v/>
      </c>
      <c r="U24" s="48" t="str">
        <f t="shared" si="5"/>
        <v/>
      </c>
      <c r="V24" s="57" t="str">
        <f t="shared" si="6"/>
        <v/>
      </c>
    </row>
    <row r="25" spans="2:22">
      <c r="B25" s="56"/>
      <c r="C25" s="78"/>
      <c r="D25" s="51"/>
      <c r="E25" s="51"/>
      <c r="F25" s="52"/>
      <c r="G25" s="55"/>
      <c r="H25" s="53"/>
      <c r="I25" s="47" t="str">
        <f>IF($D25="","",IF($D25="수입",IF(N($F25)=0,"",$F25*IF($E25="USD",설정!$C$11,IF($E25="CNY",설정!$C$12,1))*(1+설정!$C$17)),IF(N($G25)=0,"",$G25*(1+설정!$C$23))))</f>
        <v/>
      </c>
      <c r="J25" s="49"/>
      <c r="K25" s="49"/>
      <c r="L25" s="48" t="str">
        <f>IF($I25="","",IFERROR(IF(설정!$C$26="원가 가산",$I25*(1+IF($J25="",설정!$C$24,$J25)),$I25/(1-IF($J25="",설정!$C$24,$J25))),0))</f>
        <v/>
      </c>
      <c r="M25" s="48" t="str">
        <f>IF($I25="","",IFERROR(IF(설정!$C$27&lt;=1,ROUND(IF(설정!$C$26="원가 가산",$L25*(1+IF($K25="",설정!$C$25,$K25)),$I25/(1-IF($J25="",설정!$C$24,$J25)-IF($K25="",설정!$C$25,$K25))),0),CEILING(IF(설정!$C$26="원가 가산",$L25*(1+IF($K25="",설정!$C$25,$K25)),$I25/(1-IF($J25="",설정!$C$24,$J25)-IF($K25="",설정!$C$25,$K25))),설정!$C$27)),0))</f>
        <v/>
      </c>
      <c r="N25" s="55"/>
      <c r="O25" s="48" t="str">
        <f t="shared" si="0"/>
        <v/>
      </c>
      <c r="P25" s="48" t="str">
        <f>IF($O25="","",IF(설정!$C$26="원가 가산",$I25*IF($J25="",설정!$C$24,$J25),$O25*IF($J25="",설정!$C$24,$J25)))</f>
        <v/>
      </c>
      <c r="Q25" s="48" t="str">
        <f t="shared" si="1"/>
        <v/>
      </c>
      <c r="R25" s="50" t="str">
        <f t="shared" si="2"/>
        <v/>
      </c>
      <c r="S25" s="50" t="str">
        <f t="shared" si="3"/>
        <v/>
      </c>
      <c r="T25" s="50" t="str">
        <f t="shared" si="4"/>
        <v/>
      </c>
      <c r="U25" s="48" t="str">
        <f t="shared" si="5"/>
        <v/>
      </c>
      <c r="V25" s="57" t="str">
        <f t="shared" si="6"/>
        <v/>
      </c>
    </row>
    <row r="26" spans="2:22">
      <c r="B26" s="56"/>
      <c r="C26" s="78"/>
      <c r="D26" s="51"/>
      <c r="E26" s="51"/>
      <c r="F26" s="52"/>
      <c r="G26" s="55"/>
      <c r="H26" s="53"/>
      <c r="I26" s="47" t="str">
        <f>IF($D26="","",IF($D26="수입",IF(N($F26)=0,"",$F26*IF($E26="USD",설정!$C$11,IF($E26="CNY",설정!$C$12,1))*(1+설정!$C$17)),IF(N($G26)=0,"",$G26*(1+설정!$C$23))))</f>
        <v/>
      </c>
      <c r="J26" s="49"/>
      <c r="K26" s="49"/>
      <c r="L26" s="48" t="str">
        <f>IF($I26="","",IFERROR(IF(설정!$C$26="원가 가산",$I26*(1+IF($J26="",설정!$C$24,$J26)),$I26/(1-IF($J26="",설정!$C$24,$J26))),0))</f>
        <v/>
      </c>
      <c r="M26" s="48" t="str">
        <f>IF($I26="","",IFERROR(IF(설정!$C$27&lt;=1,ROUND(IF(설정!$C$26="원가 가산",$L26*(1+IF($K26="",설정!$C$25,$K26)),$I26/(1-IF($J26="",설정!$C$24,$J26)-IF($K26="",설정!$C$25,$K26))),0),CEILING(IF(설정!$C$26="원가 가산",$L26*(1+IF($K26="",설정!$C$25,$K26)),$I26/(1-IF($J26="",설정!$C$24,$J26)-IF($K26="",설정!$C$25,$K26))),설정!$C$27)),0))</f>
        <v/>
      </c>
      <c r="N26" s="55"/>
      <c r="O26" s="48" t="str">
        <f t="shared" si="0"/>
        <v/>
      </c>
      <c r="P26" s="48" t="str">
        <f>IF($O26="","",IF(설정!$C$26="원가 가산",$I26*IF($J26="",설정!$C$24,$J26),$O26*IF($J26="",설정!$C$24,$J26)))</f>
        <v/>
      </c>
      <c r="Q26" s="48" t="str">
        <f t="shared" si="1"/>
        <v/>
      </c>
      <c r="R26" s="50" t="str">
        <f t="shared" si="2"/>
        <v/>
      </c>
      <c r="S26" s="50" t="str">
        <f t="shared" si="3"/>
        <v/>
      </c>
      <c r="T26" s="50" t="str">
        <f t="shared" si="4"/>
        <v/>
      </c>
      <c r="U26" s="48" t="str">
        <f t="shared" si="5"/>
        <v/>
      </c>
      <c r="V26" s="57" t="str">
        <f t="shared" si="6"/>
        <v/>
      </c>
    </row>
    <row r="27" spans="2:22">
      <c r="B27" s="56"/>
      <c r="C27" s="78"/>
      <c r="D27" s="51"/>
      <c r="E27" s="51"/>
      <c r="F27" s="52"/>
      <c r="G27" s="55"/>
      <c r="H27" s="53"/>
      <c r="I27" s="47" t="str">
        <f>IF($D27="","",IF($D27="수입",IF(N($F27)=0,"",$F27*IF($E27="USD",설정!$C$11,IF($E27="CNY",설정!$C$12,1))*(1+설정!$C$17)),IF(N($G27)=0,"",$G27*(1+설정!$C$23))))</f>
        <v/>
      </c>
      <c r="J27" s="49"/>
      <c r="K27" s="49"/>
      <c r="L27" s="48" t="str">
        <f>IF($I27="","",IFERROR(IF(설정!$C$26="원가 가산",$I27*(1+IF($J27="",설정!$C$24,$J27)),$I27/(1-IF($J27="",설정!$C$24,$J27))),0))</f>
        <v/>
      </c>
      <c r="M27" s="48" t="str">
        <f>IF($I27="","",IFERROR(IF(설정!$C$27&lt;=1,ROUND(IF(설정!$C$26="원가 가산",$L27*(1+IF($K27="",설정!$C$25,$K27)),$I27/(1-IF($J27="",설정!$C$24,$J27)-IF($K27="",설정!$C$25,$K27))),0),CEILING(IF(설정!$C$26="원가 가산",$L27*(1+IF($K27="",설정!$C$25,$K27)),$I27/(1-IF($J27="",설정!$C$24,$J27)-IF($K27="",설정!$C$25,$K27))),설정!$C$27)),0))</f>
        <v/>
      </c>
      <c r="N27" s="55"/>
      <c r="O27" s="48" t="str">
        <f t="shared" si="0"/>
        <v/>
      </c>
      <c r="P27" s="48" t="str">
        <f>IF($O27="","",IF(설정!$C$26="원가 가산",$I27*IF($J27="",설정!$C$24,$J27),$O27*IF($J27="",설정!$C$24,$J27)))</f>
        <v/>
      </c>
      <c r="Q27" s="48" t="str">
        <f t="shared" si="1"/>
        <v/>
      </c>
      <c r="R27" s="50" t="str">
        <f t="shared" si="2"/>
        <v/>
      </c>
      <c r="S27" s="50" t="str">
        <f t="shared" si="3"/>
        <v/>
      </c>
      <c r="T27" s="50" t="str">
        <f t="shared" si="4"/>
        <v/>
      </c>
      <c r="U27" s="48" t="str">
        <f t="shared" si="5"/>
        <v/>
      </c>
      <c r="V27" s="57" t="str">
        <f t="shared" si="6"/>
        <v/>
      </c>
    </row>
    <row r="28" spans="2:22">
      <c r="B28" s="56"/>
      <c r="C28" s="78"/>
      <c r="D28" s="51"/>
      <c r="E28" s="51"/>
      <c r="F28" s="52"/>
      <c r="G28" s="55"/>
      <c r="H28" s="53"/>
      <c r="I28" s="47" t="str">
        <f>IF($D28="","",IF($D28="수입",IF(N($F28)=0,"",$F28*IF($E28="USD",설정!$C$11,IF($E28="CNY",설정!$C$12,1))*(1+설정!$C$17)),IF(N($G28)=0,"",$G28*(1+설정!$C$23))))</f>
        <v/>
      </c>
      <c r="J28" s="49"/>
      <c r="K28" s="49"/>
      <c r="L28" s="48" t="str">
        <f>IF($I28="","",IFERROR(IF(설정!$C$26="원가 가산",$I28*(1+IF($J28="",설정!$C$24,$J28)),$I28/(1-IF($J28="",설정!$C$24,$J28))),0))</f>
        <v/>
      </c>
      <c r="M28" s="48" t="str">
        <f>IF($I28="","",IFERROR(IF(설정!$C$27&lt;=1,ROUND(IF(설정!$C$26="원가 가산",$L28*(1+IF($K28="",설정!$C$25,$K28)),$I28/(1-IF($J28="",설정!$C$24,$J28)-IF($K28="",설정!$C$25,$K28))),0),CEILING(IF(설정!$C$26="원가 가산",$L28*(1+IF($K28="",설정!$C$25,$K28)),$I28/(1-IF($J28="",설정!$C$24,$J28)-IF($K28="",설정!$C$25,$K28))),설정!$C$27)),0))</f>
        <v/>
      </c>
      <c r="N28" s="55"/>
      <c r="O28" s="48" t="str">
        <f t="shared" si="0"/>
        <v/>
      </c>
      <c r="P28" s="48" t="str">
        <f>IF($O28="","",IF(설정!$C$26="원가 가산",$I28*IF($J28="",설정!$C$24,$J28),$O28*IF($J28="",설정!$C$24,$J28)))</f>
        <v/>
      </c>
      <c r="Q28" s="48" t="str">
        <f t="shared" si="1"/>
        <v/>
      </c>
      <c r="R28" s="50" t="str">
        <f t="shared" si="2"/>
        <v/>
      </c>
      <c r="S28" s="50" t="str">
        <f t="shared" si="3"/>
        <v/>
      </c>
      <c r="T28" s="50" t="str">
        <f t="shared" si="4"/>
        <v/>
      </c>
      <c r="U28" s="48" t="str">
        <f t="shared" si="5"/>
        <v/>
      </c>
      <c r="V28" s="57" t="str">
        <f t="shared" si="6"/>
        <v/>
      </c>
    </row>
    <row r="29" spans="2:22">
      <c r="B29" s="56"/>
      <c r="C29" s="78"/>
      <c r="D29" s="51"/>
      <c r="E29" s="51"/>
      <c r="F29" s="52"/>
      <c r="G29" s="55"/>
      <c r="H29" s="53"/>
      <c r="I29" s="47" t="str">
        <f>IF($D29="","",IF($D29="수입",IF(N($F29)=0,"",$F29*IF($E29="USD",설정!$C$11,IF($E29="CNY",설정!$C$12,1))*(1+설정!$C$17)),IF(N($G29)=0,"",$G29*(1+설정!$C$23))))</f>
        <v/>
      </c>
      <c r="J29" s="49"/>
      <c r="K29" s="49"/>
      <c r="L29" s="48" t="str">
        <f>IF($I29="","",IFERROR(IF(설정!$C$26="원가 가산",$I29*(1+IF($J29="",설정!$C$24,$J29)),$I29/(1-IF($J29="",설정!$C$24,$J29))),0))</f>
        <v/>
      </c>
      <c r="M29" s="48" t="str">
        <f>IF($I29="","",IFERROR(IF(설정!$C$27&lt;=1,ROUND(IF(설정!$C$26="원가 가산",$L29*(1+IF($K29="",설정!$C$25,$K29)),$I29/(1-IF($J29="",설정!$C$24,$J29)-IF($K29="",설정!$C$25,$K29))),0),CEILING(IF(설정!$C$26="원가 가산",$L29*(1+IF($K29="",설정!$C$25,$K29)),$I29/(1-IF($J29="",설정!$C$24,$J29)-IF($K29="",설정!$C$25,$K29))),설정!$C$27)),0))</f>
        <v/>
      </c>
      <c r="N29" s="55"/>
      <c r="O29" s="48" t="str">
        <f t="shared" si="0"/>
        <v/>
      </c>
      <c r="P29" s="48" t="str">
        <f>IF($O29="","",IF(설정!$C$26="원가 가산",$I29*IF($J29="",설정!$C$24,$J29),$O29*IF($J29="",설정!$C$24,$J29)))</f>
        <v/>
      </c>
      <c r="Q29" s="48" t="str">
        <f t="shared" si="1"/>
        <v/>
      </c>
      <c r="R29" s="50" t="str">
        <f t="shared" si="2"/>
        <v/>
      </c>
      <c r="S29" s="50" t="str">
        <f t="shared" si="3"/>
        <v/>
      </c>
      <c r="T29" s="50" t="str">
        <f t="shared" si="4"/>
        <v/>
      </c>
      <c r="U29" s="48" t="str">
        <f t="shared" si="5"/>
        <v/>
      </c>
      <c r="V29" s="57" t="str">
        <f t="shared" si="6"/>
        <v/>
      </c>
    </row>
    <row r="30" spans="2:22">
      <c r="B30" s="56"/>
      <c r="C30" s="78"/>
      <c r="D30" s="51"/>
      <c r="E30" s="51"/>
      <c r="F30" s="52"/>
      <c r="G30" s="55"/>
      <c r="H30" s="53"/>
      <c r="I30" s="47" t="str">
        <f>IF($D30="","",IF($D30="수입",IF(N($F30)=0,"",$F30*IF($E30="USD",설정!$C$11,IF($E30="CNY",설정!$C$12,1))*(1+설정!$C$17)),IF(N($G30)=0,"",$G30*(1+설정!$C$23))))</f>
        <v/>
      </c>
      <c r="J30" s="49"/>
      <c r="K30" s="49"/>
      <c r="L30" s="48" t="str">
        <f>IF($I30="","",IFERROR(IF(설정!$C$26="원가 가산",$I30*(1+IF($J30="",설정!$C$24,$J30)),$I30/(1-IF($J30="",설정!$C$24,$J30))),0))</f>
        <v/>
      </c>
      <c r="M30" s="48" t="str">
        <f>IF($I30="","",IFERROR(IF(설정!$C$27&lt;=1,ROUND(IF(설정!$C$26="원가 가산",$L30*(1+IF($K30="",설정!$C$25,$K30)),$I30/(1-IF($J30="",설정!$C$24,$J30)-IF($K30="",설정!$C$25,$K30))),0),CEILING(IF(설정!$C$26="원가 가산",$L30*(1+IF($K30="",설정!$C$25,$K30)),$I30/(1-IF($J30="",설정!$C$24,$J30)-IF($K30="",설정!$C$25,$K30))),설정!$C$27)),0))</f>
        <v/>
      </c>
      <c r="N30" s="55"/>
      <c r="O30" s="48" t="str">
        <f t="shared" si="0"/>
        <v/>
      </c>
      <c r="P30" s="48" t="str">
        <f>IF($O30="","",IF(설정!$C$26="원가 가산",$I30*IF($J30="",설정!$C$24,$J30),$O30*IF($J30="",설정!$C$24,$J30)))</f>
        <v/>
      </c>
      <c r="Q30" s="48" t="str">
        <f t="shared" si="1"/>
        <v/>
      </c>
      <c r="R30" s="50" t="str">
        <f t="shared" si="2"/>
        <v/>
      </c>
      <c r="S30" s="50" t="str">
        <f t="shared" si="3"/>
        <v/>
      </c>
      <c r="T30" s="50" t="str">
        <f t="shared" si="4"/>
        <v/>
      </c>
      <c r="U30" s="48" t="str">
        <f t="shared" si="5"/>
        <v/>
      </c>
      <c r="V30" s="57" t="str">
        <f t="shared" si="6"/>
        <v/>
      </c>
    </row>
    <row r="31" spans="2:22">
      <c r="B31" s="56"/>
      <c r="C31" s="78"/>
      <c r="D31" s="51"/>
      <c r="E31" s="51"/>
      <c r="F31" s="52"/>
      <c r="G31" s="55"/>
      <c r="H31" s="53"/>
      <c r="I31" s="47" t="str">
        <f>IF($D31="","",IF($D31="수입",IF(N($F31)=0,"",$F31*IF($E31="USD",설정!$C$11,IF($E31="CNY",설정!$C$12,1))*(1+설정!$C$17)),IF(N($G31)=0,"",$G31*(1+설정!$C$23))))</f>
        <v/>
      </c>
      <c r="J31" s="49"/>
      <c r="K31" s="49"/>
      <c r="L31" s="48" t="str">
        <f>IF($I31="","",IFERROR(IF(설정!$C$26="원가 가산",$I31*(1+IF($J31="",설정!$C$24,$J31)),$I31/(1-IF($J31="",설정!$C$24,$J31))),0))</f>
        <v/>
      </c>
      <c r="M31" s="48" t="str">
        <f>IF($I31="","",IFERROR(IF(설정!$C$27&lt;=1,ROUND(IF(설정!$C$26="원가 가산",$L31*(1+IF($K31="",설정!$C$25,$K31)),$I31/(1-IF($J31="",설정!$C$24,$J31)-IF($K31="",설정!$C$25,$K31))),0),CEILING(IF(설정!$C$26="원가 가산",$L31*(1+IF($K31="",설정!$C$25,$K31)),$I31/(1-IF($J31="",설정!$C$24,$J31)-IF($K31="",설정!$C$25,$K31))),설정!$C$27)),0))</f>
        <v/>
      </c>
      <c r="N31" s="55"/>
      <c r="O31" s="48" t="str">
        <f t="shared" si="0"/>
        <v/>
      </c>
      <c r="P31" s="48" t="str">
        <f>IF($O31="","",IF(설정!$C$26="원가 가산",$I31*IF($J31="",설정!$C$24,$J31),$O31*IF($J31="",설정!$C$24,$J31)))</f>
        <v/>
      </c>
      <c r="Q31" s="48" t="str">
        <f t="shared" si="1"/>
        <v/>
      </c>
      <c r="R31" s="50" t="str">
        <f t="shared" si="2"/>
        <v/>
      </c>
      <c r="S31" s="50" t="str">
        <f t="shared" si="3"/>
        <v/>
      </c>
      <c r="T31" s="50" t="str">
        <f t="shared" si="4"/>
        <v/>
      </c>
      <c r="U31" s="48" t="str">
        <f t="shared" si="5"/>
        <v/>
      </c>
      <c r="V31" s="57" t="str">
        <f t="shared" si="6"/>
        <v/>
      </c>
    </row>
    <row r="32" spans="2:22">
      <c r="B32" s="56"/>
      <c r="C32" s="78"/>
      <c r="D32" s="51"/>
      <c r="E32" s="51"/>
      <c r="F32" s="52"/>
      <c r="G32" s="55"/>
      <c r="H32" s="53"/>
      <c r="I32" s="47" t="str">
        <f>IF($D32="","",IF($D32="수입",IF(N($F32)=0,"",$F32*IF($E32="USD",설정!$C$11,IF($E32="CNY",설정!$C$12,1))*(1+설정!$C$17)),IF(N($G32)=0,"",$G32*(1+설정!$C$23))))</f>
        <v/>
      </c>
      <c r="J32" s="49"/>
      <c r="K32" s="49"/>
      <c r="L32" s="48" t="str">
        <f>IF($I32="","",IFERROR(IF(설정!$C$26="원가 가산",$I32*(1+IF($J32="",설정!$C$24,$J32)),$I32/(1-IF($J32="",설정!$C$24,$J32))),0))</f>
        <v/>
      </c>
      <c r="M32" s="48" t="str">
        <f>IF($I32="","",IFERROR(IF(설정!$C$27&lt;=1,ROUND(IF(설정!$C$26="원가 가산",$L32*(1+IF($K32="",설정!$C$25,$K32)),$I32/(1-IF($J32="",설정!$C$24,$J32)-IF($K32="",설정!$C$25,$K32))),0),CEILING(IF(설정!$C$26="원가 가산",$L32*(1+IF($K32="",설정!$C$25,$K32)),$I32/(1-IF($J32="",설정!$C$24,$J32)-IF($K32="",설정!$C$25,$K32))),설정!$C$27)),0))</f>
        <v/>
      </c>
      <c r="N32" s="55"/>
      <c r="O32" s="48" t="str">
        <f t="shared" si="0"/>
        <v/>
      </c>
      <c r="P32" s="48" t="str">
        <f>IF($O32="","",IF(설정!$C$26="원가 가산",$I32*IF($J32="",설정!$C$24,$J32),$O32*IF($J32="",설정!$C$24,$J32)))</f>
        <v/>
      </c>
      <c r="Q32" s="48" t="str">
        <f t="shared" si="1"/>
        <v/>
      </c>
      <c r="R32" s="50" t="str">
        <f t="shared" si="2"/>
        <v/>
      </c>
      <c r="S32" s="50" t="str">
        <f t="shared" si="3"/>
        <v/>
      </c>
      <c r="T32" s="50" t="str">
        <f t="shared" si="4"/>
        <v/>
      </c>
      <c r="U32" s="48" t="str">
        <f t="shared" si="5"/>
        <v/>
      </c>
      <c r="V32" s="57" t="str">
        <f t="shared" si="6"/>
        <v/>
      </c>
    </row>
    <row r="33" spans="2:22">
      <c r="B33" s="56"/>
      <c r="C33" s="78"/>
      <c r="D33" s="51"/>
      <c r="E33" s="51"/>
      <c r="F33" s="52"/>
      <c r="G33" s="55"/>
      <c r="H33" s="53"/>
      <c r="I33" s="47" t="str">
        <f>IF($D33="","",IF($D33="수입",IF(N($F33)=0,"",$F33*IF($E33="USD",설정!$C$11,IF($E33="CNY",설정!$C$12,1))*(1+설정!$C$17)),IF(N($G33)=0,"",$G33*(1+설정!$C$23))))</f>
        <v/>
      </c>
      <c r="J33" s="49"/>
      <c r="K33" s="49"/>
      <c r="L33" s="48" t="str">
        <f>IF($I33="","",IFERROR(IF(설정!$C$26="원가 가산",$I33*(1+IF($J33="",설정!$C$24,$J33)),$I33/(1-IF($J33="",설정!$C$24,$J33))),0))</f>
        <v/>
      </c>
      <c r="M33" s="48" t="str">
        <f>IF($I33="","",IFERROR(IF(설정!$C$27&lt;=1,ROUND(IF(설정!$C$26="원가 가산",$L33*(1+IF($K33="",설정!$C$25,$K33)),$I33/(1-IF($J33="",설정!$C$24,$J33)-IF($K33="",설정!$C$25,$K33))),0),CEILING(IF(설정!$C$26="원가 가산",$L33*(1+IF($K33="",설정!$C$25,$K33)),$I33/(1-IF($J33="",설정!$C$24,$J33)-IF($K33="",설정!$C$25,$K33))),설정!$C$27)),0))</f>
        <v/>
      </c>
      <c r="N33" s="55"/>
      <c r="O33" s="48" t="str">
        <f t="shared" si="0"/>
        <v/>
      </c>
      <c r="P33" s="48" t="str">
        <f>IF($O33="","",IF(설정!$C$26="원가 가산",$I33*IF($J33="",설정!$C$24,$J33),$O33*IF($J33="",설정!$C$24,$J33)))</f>
        <v/>
      </c>
      <c r="Q33" s="48" t="str">
        <f t="shared" si="1"/>
        <v/>
      </c>
      <c r="R33" s="50" t="str">
        <f t="shared" si="2"/>
        <v/>
      </c>
      <c r="S33" s="50" t="str">
        <f t="shared" si="3"/>
        <v/>
      </c>
      <c r="T33" s="50" t="str">
        <f t="shared" si="4"/>
        <v/>
      </c>
      <c r="U33" s="48" t="str">
        <f t="shared" si="5"/>
        <v/>
      </c>
      <c r="V33" s="57" t="str">
        <f t="shared" si="6"/>
        <v/>
      </c>
    </row>
    <row r="34" spans="2:22">
      <c r="B34" s="56"/>
      <c r="C34" s="78"/>
      <c r="D34" s="51"/>
      <c r="E34" s="51"/>
      <c r="F34" s="52"/>
      <c r="G34" s="55"/>
      <c r="H34" s="53"/>
      <c r="I34" s="47" t="str">
        <f>IF($D34="","",IF($D34="수입",IF(N($F34)=0,"",$F34*IF($E34="USD",설정!$C$11,IF($E34="CNY",설정!$C$12,1))*(1+설정!$C$17)),IF(N($G34)=0,"",$G34*(1+설정!$C$23))))</f>
        <v/>
      </c>
      <c r="J34" s="49"/>
      <c r="K34" s="49"/>
      <c r="L34" s="48" t="str">
        <f>IF($I34="","",IFERROR(IF(설정!$C$26="원가 가산",$I34*(1+IF($J34="",설정!$C$24,$J34)),$I34/(1-IF($J34="",설정!$C$24,$J34))),0))</f>
        <v/>
      </c>
      <c r="M34" s="48" t="str">
        <f>IF($I34="","",IFERROR(IF(설정!$C$27&lt;=1,ROUND(IF(설정!$C$26="원가 가산",$L34*(1+IF($K34="",설정!$C$25,$K34)),$I34/(1-IF($J34="",설정!$C$24,$J34)-IF($K34="",설정!$C$25,$K34))),0),CEILING(IF(설정!$C$26="원가 가산",$L34*(1+IF($K34="",설정!$C$25,$K34)),$I34/(1-IF($J34="",설정!$C$24,$J34)-IF($K34="",설정!$C$25,$K34))),설정!$C$27)),0))</f>
        <v/>
      </c>
      <c r="N34" s="55"/>
      <c r="O34" s="48" t="str">
        <f t="shared" si="0"/>
        <v/>
      </c>
      <c r="P34" s="48" t="str">
        <f>IF($O34="","",IF(설정!$C$26="원가 가산",$I34*IF($J34="",설정!$C$24,$J34),$O34*IF($J34="",설정!$C$24,$J34)))</f>
        <v/>
      </c>
      <c r="Q34" s="48" t="str">
        <f t="shared" si="1"/>
        <v/>
      </c>
      <c r="R34" s="50" t="str">
        <f t="shared" si="2"/>
        <v/>
      </c>
      <c r="S34" s="50" t="str">
        <f t="shared" si="3"/>
        <v/>
      </c>
      <c r="T34" s="50" t="str">
        <f t="shared" si="4"/>
        <v/>
      </c>
      <c r="U34" s="48" t="str">
        <f t="shared" si="5"/>
        <v/>
      </c>
      <c r="V34" s="57" t="str">
        <f t="shared" si="6"/>
        <v/>
      </c>
    </row>
    <row r="35" spans="2:22">
      <c r="B35" s="56"/>
      <c r="C35" s="78"/>
      <c r="D35" s="51"/>
      <c r="E35" s="51"/>
      <c r="F35" s="52"/>
      <c r="G35" s="55"/>
      <c r="H35" s="53"/>
      <c r="I35" s="47" t="str">
        <f>IF($D35="","",IF($D35="수입",IF(N($F35)=0,"",$F35*IF($E35="USD",설정!$C$11,IF($E35="CNY",설정!$C$12,1))*(1+설정!$C$17)),IF(N($G35)=0,"",$G35*(1+설정!$C$23))))</f>
        <v/>
      </c>
      <c r="J35" s="49"/>
      <c r="K35" s="49"/>
      <c r="L35" s="48" t="str">
        <f>IF($I35="","",IFERROR(IF(설정!$C$26="원가 가산",$I35*(1+IF($J35="",설정!$C$24,$J35)),$I35/(1-IF($J35="",설정!$C$24,$J35))),0))</f>
        <v/>
      </c>
      <c r="M35" s="48" t="str">
        <f>IF($I35="","",IFERROR(IF(설정!$C$27&lt;=1,ROUND(IF(설정!$C$26="원가 가산",$L35*(1+IF($K35="",설정!$C$25,$K35)),$I35/(1-IF($J35="",설정!$C$24,$J35)-IF($K35="",설정!$C$25,$K35))),0),CEILING(IF(설정!$C$26="원가 가산",$L35*(1+IF($K35="",설정!$C$25,$K35)),$I35/(1-IF($J35="",설정!$C$24,$J35)-IF($K35="",설정!$C$25,$K35))),설정!$C$27)),0))</f>
        <v/>
      </c>
      <c r="N35" s="55"/>
      <c r="O35" s="48" t="str">
        <f t="shared" si="0"/>
        <v/>
      </c>
      <c r="P35" s="48" t="str">
        <f>IF($O35="","",IF(설정!$C$26="원가 가산",$I35*IF($J35="",설정!$C$24,$J35),$O35*IF($J35="",설정!$C$24,$J35)))</f>
        <v/>
      </c>
      <c r="Q35" s="48" t="str">
        <f t="shared" si="1"/>
        <v/>
      </c>
      <c r="R35" s="50" t="str">
        <f t="shared" si="2"/>
        <v/>
      </c>
      <c r="S35" s="50" t="str">
        <f t="shared" si="3"/>
        <v/>
      </c>
      <c r="T35" s="50" t="str">
        <f t="shared" si="4"/>
        <v/>
      </c>
      <c r="U35" s="48" t="str">
        <f t="shared" si="5"/>
        <v/>
      </c>
      <c r="V35" s="57" t="str">
        <f t="shared" si="6"/>
        <v/>
      </c>
    </row>
    <row r="36" spans="2:22">
      <c r="B36" s="56"/>
      <c r="C36" s="78"/>
      <c r="D36" s="51"/>
      <c r="E36" s="51"/>
      <c r="F36" s="52"/>
      <c r="G36" s="55"/>
      <c r="H36" s="53"/>
      <c r="I36" s="47" t="str">
        <f>IF($D36="","",IF($D36="수입",IF(N($F36)=0,"",$F36*IF($E36="USD",설정!$C$11,IF($E36="CNY",설정!$C$12,1))*(1+설정!$C$17)),IF(N($G36)=0,"",$G36*(1+설정!$C$23))))</f>
        <v/>
      </c>
      <c r="J36" s="49"/>
      <c r="K36" s="49"/>
      <c r="L36" s="48" t="str">
        <f>IF($I36="","",IFERROR(IF(설정!$C$26="원가 가산",$I36*(1+IF($J36="",설정!$C$24,$J36)),$I36/(1-IF($J36="",설정!$C$24,$J36))),0))</f>
        <v/>
      </c>
      <c r="M36" s="48" t="str">
        <f>IF($I36="","",IFERROR(IF(설정!$C$27&lt;=1,ROUND(IF(설정!$C$26="원가 가산",$L36*(1+IF($K36="",설정!$C$25,$K36)),$I36/(1-IF($J36="",설정!$C$24,$J36)-IF($K36="",설정!$C$25,$K36))),0),CEILING(IF(설정!$C$26="원가 가산",$L36*(1+IF($K36="",설정!$C$25,$K36)),$I36/(1-IF($J36="",설정!$C$24,$J36)-IF($K36="",설정!$C$25,$K36))),설정!$C$27)),0))</f>
        <v/>
      </c>
      <c r="N36" s="55"/>
      <c r="O36" s="48" t="str">
        <f t="shared" si="0"/>
        <v/>
      </c>
      <c r="P36" s="48" t="str">
        <f>IF($O36="","",IF(설정!$C$26="원가 가산",$I36*IF($J36="",설정!$C$24,$J36),$O36*IF($J36="",설정!$C$24,$J36)))</f>
        <v/>
      </c>
      <c r="Q36" s="48" t="str">
        <f t="shared" si="1"/>
        <v/>
      </c>
      <c r="R36" s="50" t="str">
        <f t="shared" si="2"/>
        <v/>
      </c>
      <c r="S36" s="50" t="str">
        <f t="shared" si="3"/>
        <v/>
      </c>
      <c r="T36" s="50" t="str">
        <f t="shared" si="4"/>
        <v/>
      </c>
      <c r="U36" s="48" t="str">
        <f t="shared" si="5"/>
        <v/>
      </c>
      <c r="V36" s="57" t="str">
        <f t="shared" si="6"/>
        <v/>
      </c>
    </row>
    <row r="37" spans="2:22">
      <c r="B37" s="56"/>
      <c r="C37" s="78"/>
      <c r="D37" s="51"/>
      <c r="E37" s="51"/>
      <c r="F37" s="52"/>
      <c r="G37" s="55"/>
      <c r="H37" s="53"/>
      <c r="I37" s="47" t="str">
        <f>IF($D37="","",IF($D37="수입",IF(N($F37)=0,"",$F37*IF($E37="USD",설정!$C$11,IF($E37="CNY",설정!$C$12,1))*(1+설정!$C$17)),IF(N($G37)=0,"",$G37*(1+설정!$C$23))))</f>
        <v/>
      </c>
      <c r="J37" s="49"/>
      <c r="K37" s="49"/>
      <c r="L37" s="48" t="str">
        <f>IF($I37="","",IFERROR(IF(설정!$C$26="원가 가산",$I37*(1+IF($J37="",설정!$C$24,$J37)),$I37/(1-IF($J37="",설정!$C$24,$J37))),0))</f>
        <v/>
      </c>
      <c r="M37" s="48" t="str">
        <f>IF($I37="","",IFERROR(IF(설정!$C$27&lt;=1,ROUND(IF(설정!$C$26="원가 가산",$L37*(1+IF($K37="",설정!$C$25,$K37)),$I37/(1-IF($J37="",설정!$C$24,$J37)-IF($K37="",설정!$C$25,$K37))),0),CEILING(IF(설정!$C$26="원가 가산",$L37*(1+IF($K37="",설정!$C$25,$K37)),$I37/(1-IF($J37="",설정!$C$24,$J37)-IF($K37="",설정!$C$25,$K37))),설정!$C$27)),0))</f>
        <v/>
      </c>
      <c r="N37" s="55"/>
      <c r="O37" s="48" t="str">
        <f t="shared" si="0"/>
        <v/>
      </c>
      <c r="P37" s="48" t="str">
        <f>IF($O37="","",IF(설정!$C$26="원가 가산",$I37*IF($J37="",설정!$C$24,$J37),$O37*IF($J37="",설정!$C$24,$J37)))</f>
        <v/>
      </c>
      <c r="Q37" s="48" t="str">
        <f t="shared" si="1"/>
        <v/>
      </c>
      <c r="R37" s="50" t="str">
        <f t="shared" si="2"/>
        <v/>
      </c>
      <c r="S37" s="50" t="str">
        <f t="shared" si="3"/>
        <v/>
      </c>
      <c r="T37" s="50" t="str">
        <f t="shared" si="4"/>
        <v/>
      </c>
      <c r="U37" s="48" t="str">
        <f t="shared" si="5"/>
        <v/>
      </c>
      <c r="V37" s="57" t="str">
        <f t="shared" si="6"/>
        <v/>
      </c>
    </row>
    <row r="38" spans="2:22">
      <c r="B38" s="56"/>
      <c r="C38" s="78"/>
      <c r="D38" s="51"/>
      <c r="E38" s="51"/>
      <c r="F38" s="52"/>
      <c r="G38" s="55"/>
      <c r="H38" s="53"/>
      <c r="I38" s="47" t="str">
        <f>IF($D38="","",IF($D38="수입",IF(N($F38)=0,"",$F38*IF($E38="USD",설정!$C$11,IF($E38="CNY",설정!$C$12,1))*(1+설정!$C$17)),IF(N($G38)=0,"",$G38*(1+설정!$C$23))))</f>
        <v/>
      </c>
      <c r="J38" s="49"/>
      <c r="K38" s="49"/>
      <c r="L38" s="48" t="str">
        <f>IF($I38="","",IFERROR(IF(설정!$C$26="원가 가산",$I38*(1+IF($J38="",설정!$C$24,$J38)),$I38/(1-IF($J38="",설정!$C$24,$J38))),0))</f>
        <v/>
      </c>
      <c r="M38" s="48" t="str">
        <f>IF($I38="","",IFERROR(IF(설정!$C$27&lt;=1,ROUND(IF(설정!$C$26="원가 가산",$L38*(1+IF($K38="",설정!$C$25,$K38)),$I38/(1-IF($J38="",설정!$C$24,$J38)-IF($K38="",설정!$C$25,$K38))),0),CEILING(IF(설정!$C$26="원가 가산",$L38*(1+IF($K38="",설정!$C$25,$K38)),$I38/(1-IF($J38="",설정!$C$24,$J38)-IF($K38="",설정!$C$25,$K38))),설정!$C$27)),0))</f>
        <v/>
      </c>
      <c r="N38" s="55"/>
      <c r="O38" s="48" t="str">
        <f t="shared" si="0"/>
        <v/>
      </c>
      <c r="P38" s="48" t="str">
        <f>IF($O38="","",IF(설정!$C$26="원가 가산",$I38*IF($J38="",설정!$C$24,$J38),$O38*IF($J38="",설정!$C$24,$J38)))</f>
        <v/>
      </c>
      <c r="Q38" s="48" t="str">
        <f t="shared" si="1"/>
        <v/>
      </c>
      <c r="R38" s="50" t="str">
        <f t="shared" si="2"/>
        <v/>
      </c>
      <c r="S38" s="50" t="str">
        <f t="shared" si="3"/>
        <v/>
      </c>
      <c r="T38" s="50" t="str">
        <f t="shared" si="4"/>
        <v/>
      </c>
      <c r="U38" s="48" t="str">
        <f t="shared" si="5"/>
        <v/>
      </c>
      <c r="V38" s="57" t="str">
        <f t="shared" si="6"/>
        <v/>
      </c>
    </row>
    <row r="39" spans="2:22">
      <c r="B39" s="56"/>
      <c r="C39" s="78"/>
      <c r="D39" s="51"/>
      <c r="E39" s="51"/>
      <c r="F39" s="52"/>
      <c r="G39" s="55"/>
      <c r="H39" s="53"/>
      <c r="I39" s="47" t="str">
        <f>IF($D39="","",IF($D39="수입",IF(N($F39)=0,"",$F39*IF($E39="USD",설정!$C$11,IF($E39="CNY",설정!$C$12,1))*(1+설정!$C$17)),IF(N($G39)=0,"",$G39*(1+설정!$C$23))))</f>
        <v/>
      </c>
      <c r="J39" s="49"/>
      <c r="K39" s="49"/>
      <c r="L39" s="48" t="str">
        <f>IF($I39="","",IFERROR(IF(설정!$C$26="원가 가산",$I39*(1+IF($J39="",설정!$C$24,$J39)),$I39/(1-IF($J39="",설정!$C$24,$J39))),0))</f>
        <v/>
      </c>
      <c r="M39" s="48" t="str">
        <f>IF($I39="","",IFERROR(IF(설정!$C$27&lt;=1,ROUND(IF(설정!$C$26="원가 가산",$L39*(1+IF($K39="",설정!$C$25,$K39)),$I39/(1-IF($J39="",설정!$C$24,$J39)-IF($K39="",설정!$C$25,$K39))),0),CEILING(IF(설정!$C$26="원가 가산",$L39*(1+IF($K39="",설정!$C$25,$K39)),$I39/(1-IF($J39="",설정!$C$24,$J39)-IF($K39="",설정!$C$25,$K39))),설정!$C$27)),0))</f>
        <v/>
      </c>
      <c r="N39" s="55"/>
      <c r="O39" s="48" t="str">
        <f t="shared" si="0"/>
        <v/>
      </c>
      <c r="P39" s="48" t="str">
        <f>IF($O39="","",IF(설정!$C$26="원가 가산",$I39*IF($J39="",설정!$C$24,$J39),$O39*IF($J39="",설정!$C$24,$J39)))</f>
        <v/>
      </c>
      <c r="Q39" s="48" t="str">
        <f t="shared" si="1"/>
        <v/>
      </c>
      <c r="R39" s="50" t="str">
        <f t="shared" si="2"/>
        <v/>
      </c>
      <c r="S39" s="50" t="str">
        <f t="shared" si="3"/>
        <v/>
      </c>
      <c r="T39" s="50" t="str">
        <f t="shared" si="4"/>
        <v/>
      </c>
      <c r="U39" s="48" t="str">
        <f t="shared" si="5"/>
        <v/>
      </c>
      <c r="V39" s="57" t="str">
        <f t="shared" si="6"/>
        <v/>
      </c>
    </row>
    <row r="40" spans="2:22">
      <c r="B40" s="56"/>
      <c r="C40" s="78"/>
      <c r="D40" s="51"/>
      <c r="E40" s="51"/>
      <c r="F40" s="52"/>
      <c r="G40" s="55"/>
      <c r="H40" s="53"/>
      <c r="I40" s="47" t="str">
        <f>IF($D40="","",IF($D40="수입",IF(N($F40)=0,"",$F40*IF($E40="USD",설정!$C$11,IF($E40="CNY",설정!$C$12,1))*(1+설정!$C$17)),IF(N($G40)=0,"",$G40*(1+설정!$C$23))))</f>
        <v/>
      </c>
      <c r="J40" s="49"/>
      <c r="K40" s="49"/>
      <c r="L40" s="48" t="str">
        <f>IF($I40="","",IFERROR(IF(설정!$C$26="원가 가산",$I40*(1+IF($J40="",설정!$C$24,$J40)),$I40/(1-IF($J40="",설정!$C$24,$J40))),0))</f>
        <v/>
      </c>
      <c r="M40" s="48" t="str">
        <f>IF($I40="","",IFERROR(IF(설정!$C$27&lt;=1,ROUND(IF(설정!$C$26="원가 가산",$L40*(1+IF($K40="",설정!$C$25,$K40)),$I40/(1-IF($J40="",설정!$C$24,$J40)-IF($K40="",설정!$C$25,$K40))),0),CEILING(IF(설정!$C$26="원가 가산",$L40*(1+IF($K40="",설정!$C$25,$K40)),$I40/(1-IF($J40="",설정!$C$24,$J40)-IF($K40="",설정!$C$25,$K40))),설정!$C$27)),0))</f>
        <v/>
      </c>
      <c r="N40" s="55"/>
      <c r="O40" s="48" t="str">
        <f t="shared" si="0"/>
        <v/>
      </c>
      <c r="P40" s="48" t="str">
        <f>IF($O40="","",IF(설정!$C$26="원가 가산",$I40*IF($J40="",설정!$C$24,$J40),$O40*IF($J40="",설정!$C$24,$J40)))</f>
        <v/>
      </c>
      <c r="Q40" s="48" t="str">
        <f t="shared" si="1"/>
        <v/>
      </c>
      <c r="R40" s="50" t="str">
        <f t="shared" si="2"/>
        <v/>
      </c>
      <c r="S40" s="50" t="str">
        <f t="shared" si="3"/>
        <v/>
      </c>
      <c r="T40" s="50" t="str">
        <f t="shared" si="4"/>
        <v/>
      </c>
      <c r="U40" s="48" t="str">
        <f t="shared" si="5"/>
        <v/>
      </c>
      <c r="V40" s="57" t="str">
        <f t="shared" si="6"/>
        <v/>
      </c>
    </row>
    <row r="41" spans="2:22">
      <c r="B41" s="56"/>
      <c r="C41" s="78"/>
      <c r="D41" s="51"/>
      <c r="E41" s="51"/>
      <c r="F41" s="52"/>
      <c r="G41" s="55"/>
      <c r="H41" s="53"/>
      <c r="I41" s="47" t="str">
        <f>IF($D41="","",IF($D41="수입",IF(N($F41)=0,"",$F41*IF($E41="USD",설정!$C$11,IF($E41="CNY",설정!$C$12,1))*(1+설정!$C$17)),IF(N($G41)=0,"",$G41*(1+설정!$C$23))))</f>
        <v/>
      </c>
      <c r="J41" s="49"/>
      <c r="K41" s="49"/>
      <c r="L41" s="48" t="str">
        <f>IF($I41="","",IFERROR(IF(설정!$C$26="원가 가산",$I41*(1+IF($J41="",설정!$C$24,$J41)),$I41/(1-IF($J41="",설정!$C$24,$J41))),0))</f>
        <v/>
      </c>
      <c r="M41" s="48" t="str">
        <f>IF($I41="","",IFERROR(IF(설정!$C$27&lt;=1,ROUND(IF(설정!$C$26="원가 가산",$L41*(1+IF($K41="",설정!$C$25,$K41)),$I41/(1-IF($J41="",설정!$C$24,$J41)-IF($K41="",설정!$C$25,$K41))),0),CEILING(IF(설정!$C$26="원가 가산",$L41*(1+IF($K41="",설정!$C$25,$K41)),$I41/(1-IF($J41="",설정!$C$24,$J41)-IF($K41="",설정!$C$25,$K41))),설정!$C$27)),0))</f>
        <v/>
      </c>
      <c r="N41" s="55"/>
      <c r="O41" s="48" t="str">
        <f t="shared" si="0"/>
        <v/>
      </c>
      <c r="P41" s="48" t="str">
        <f>IF($O41="","",IF(설정!$C$26="원가 가산",$I41*IF($J41="",설정!$C$24,$J41),$O41*IF($J41="",설정!$C$24,$J41)))</f>
        <v/>
      </c>
      <c r="Q41" s="48" t="str">
        <f t="shared" si="1"/>
        <v/>
      </c>
      <c r="R41" s="50" t="str">
        <f t="shared" si="2"/>
        <v/>
      </c>
      <c r="S41" s="50" t="str">
        <f t="shared" si="3"/>
        <v/>
      </c>
      <c r="T41" s="50" t="str">
        <f t="shared" si="4"/>
        <v/>
      </c>
      <c r="U41" s="48" t="str">
        <f t="shared" si="5"/>
        <v/>
      </c>
      <c r="V41" s="57" t="str">
        <f t="shared" si="6"/>
        <v/>
      </c>
    </row>
    <row r="42" spans="2:22">
      <c r="B42" s="56"/>
      <c r="C42" s="78"/>
      <c r="D42" s="51"/>
      <c r="E42" s="51"/>
      <c r="F42" s="52"/>
      <c r="G42" s="55"/>
      <c r="H42" s="53"/>
      <c r="I42" s="47" t="str">
        <f>IF($D42="","",IF($D42="수입",IF(N($F42)=0,"",$F42*IF($E42="USD",설정!$C$11,IF($E42="CNY",설정!$C$12,1))*(1+설정!$C$17)),IF(N($G42)=0,"",$G42*(1+설정!$C$23))))</f>
        <v/>
      </c>
      <c r="J42" s="49"/>
      <c r="K42" s="49"/>
      <c r="L42" s="48" t="str">
        <f>IF($I42="","",IFERROR(IF(설정!$C$26="원가 가산",$I42*(1+IF($J42="",설정!$C$24,$J42)),$I42/(1-IF($J42="",설정!$C$24,$J42))),0))</f>
        <v/>
      </c>
      <c r="M42" s="48" t="str">
        <f>IF($I42="","",IFERROR(IF(설정!$C$27&lt;=1,ROUND(IF(설정!$C$26="원가 가산",$L42*(1+IF($K42="",설정!$C$25,$K42)),$I42/(1-IF($J42="",설정!$C$24,$J42)-IF($K42="",설정!$C$25,$K42))),0),CEILING(IF(설정!$C$26="원가 가산",$L42*(1+IF($K42="",설정!$C$25,$K42)),$I42/(1-IF($J42="",설정!$C$24,$J42)-IF($K42="",설정!$C$25,$K42))),설정!$C$27)),0))</f>
        <v/>
      </c>
      <c r="N42" s="55"/>
      <c r="O42" s="48" t="str">
        <f t="shared" si="0"/>
        <v/>
      </c>
      <c r="P42" s="48" t="str">
        <f>IF($O42="","",IF(설정!$C$26="원가 가산",$I42*IF($J42="",설정!$C$24,$J42),$O42*IF($J42="",설정!$C$24,$J42)))</f>
        <v/>
      </c>
      <c r="Q42" s="48" t="str">
        <f t="shared" si="1"/>
        <v/>
      </c>
      <c r="R42" s="50" t="str">
        <f t="shared" si="2"/>
        <v/>
      </c>
      <c r="S42" s="50" t="str">
        <f t="shared" si="3"/>
        <v/>
      </c>
      <c r="T42" s="50" t="str">
        <f t="shared" si="4"/>
        <v/>
      </c>
      <c r="U42" s="48" t="str">
        <f t="shared" si="5"/>
        <v/>
      </c>
      <c r="V42" s="57" t="str">
        <f t="shared" si="6"/>
        <v/>
      </c>
    </row>
    <row r="43" spans="2:22">
      <c r="B43" s="56"/>
      <c r="C43" s="78"/>
      <c r="D43" s="51"/>
      <c r="E43" s="51"/>
      <c r="F43" s="52"/>
      <c r="G43" s="55"/>
      <c r="H43" s="53"/>
      <c r="I43" s="47" t="str">
        <f>IF($D43="","",IF($D43="수입",IF(N($F43)=0,"",$F43*IF($E43="USD",설정!$C$11,IF($E43="CNY",설정!$C$12,1))*(1+설정!$C$17)),IF(N($G43)=0,"",$G43*(1+설정!$C$23))))</f>
        <v/>
      </c>
      <c r="J43" s="49"/>
      <c r="K43" s="49"/>
      <c r="L43" s="48" t="str">
        <f>IF($I43="","",IFERROR(IF(설정!$C$26="원가 가산",$I43*(1+IF($J43="",설정!$C$24,$J43)),$I43/(1-IF($J43="",설정!$C$24,$J43))),0))</f>
        <v/>
      </c>
      <c r="M43" s="48" t="str">
        <f>IF($I43="","",IFERROR(IF(설정!$C$27&lt;=1,ROUND(IF(설정!$C$26="원가 가산",$L43*(1+IF($K43="",설정!$C$25,$K43)),$I43/(1-IF($J43="",설정!$C$24,$J43)-IF($K43="",설정!$C$25,$K43))),0),CEILING(IF(설정!$C$26="원가 가산",$L43*(1+IF($K43="",설정!$C$25,$K43)),$I43/(1-IF($J43="",설정!$C$24,$J43)-IF($K43="",설정!$C$25,$K43))),설정!$C$27)),0))</f>
        <v/>
      </c>
      <c r="N43" s="55"/>
      <c r="O43" s="48" t="str">
        <f t="shared" si="0"/>
        <v/>
      </c>
      <c r="P43" s="48" t="str">
        <f>IF($O43="","",IF(설정!$C$26="원가 가산",$I43*IF($J43="",설정!$C$24,$J43),$O43*IF($J43="",설정!$C$24,$J43)))</f>
        <v/>
      </c>
      <c r="Q43" s="48" t="str">
        <f t="shared" si="1"/>
        <v/>
      </c>
      <c r="R43" s="50" t="str">
        <f t="shared" si="2"/>
        <v/>
      </c>
      <c r="S43" s="50" t="str">
        <f t="shared" si="3"/>
        <v/>
      </c>
      <c r="T43" s="50" t="str">
        <f t="shared" si="4"/>
        <v/>
      </c>
      <c r="U43" s="48" t="str">
        <f t="shared" si="5"/>
        <v/>
      </c>
      <c r="V43" s="57" t="str">
        <f t="shared" si="6"/>
        <v/>
      </c>
    </row>
    <row r="44" spans="2:22">
      <c r="B44" s="56"/>
      <c r="C44" s="78"/>
      <c r="D44" s="51"/>
      <c r="E44" s="51"/>
      <c r="F44" s="52"/>
      <c r="G44" s="55"/>
      <c r="H44" s="53"/>
      <c r="I44" s="47" t="str">
        <f>IF($D44="","",IF($D44="수입",IF(N($F44)=0,"",$F44*IF($E44="USD",설정!$C$11,IF($E44="CNY",설정!$C$12,1))*(1+설정!$C$17)),IF(N($G44)=0,"",$G44*(1+설정!$C$23))))</f>
        <v/>
      </c>
      <c r="J44" s="49"/>
      <c r="K44" s="49"/>
      <c r="L44" s="48" t="str">
        <f>IF($I44="","",IFERROR(IF(설정!$C$26="원가 가산",$I44*(1+IF($J44="",설정!$C$24,$J44)),$I44/(1-IF($J44="",설정!$C$24,$J44))),0))</f>
        <v/>
      </c>
      <c r="M44" s="48" t="str">
        <f>IF($I44="","",IFERROR(IF(설정!$C$27&lt;=1,ROUND(IF(설정!$C$26="원가 가산",$L44*(1+IF($K44="",설정!$C$25,$K44)),$I44/(1-IF($J44="",설정!$C$24,$J44)-IF($K44="",설정!$C$25,$K44))),0),CEILING(IF(설정!$C$26="원가 가산",$L44*(1+IF($K44="",설정!$C$25,$K44)),$I44/(1-IF($J44="",설정!$C$24,$J44)-IF($K44="",설정!$C$25,$K44))),설정!$C$27)),0))</f>
        <v/>
      </c>
      <c r="N44" s="55"/>
      <c r="O44" s="48" t="str">
        <f t="shared" si="0"/>
        <v/>
      </c>
      <c r="P44" s="48" t="str">
        <f>IF($O44="","",IF(설정!$C$26="원가 가산",$I44*IF($J44="",설정!$C$24,$J44),$O44*IF($J44="",설정!$C$24,$J44)))</f>
        <v/>
      </c>
      <c r="Q44" s="48" t="str">
        <f t="shared" si="1"/>
        <v/>
      </c>
      <c r="R44" s="50" t="str">
        <f t="shared" si="2"/>
        <v/>
      </c>
      <c r="S44" s="50" t="str">
        <f t="shared" si="3"/>
        <v/>
      </c>
      <c r="T44" s="50" t="str">
        <f t="shared" si="4"/>
        <v/>
      </c>
      <c r="U44" s="48" t="str">
        <f t="shared" si="5"/>
        <v/>
      </c>
      <c r="V44" s="57" t="str">
        <f t="shared" si="6"/>
        <v/>
      </c>
    </row>
    <row r="45" spans="2:22">
      <c r="B45" s="56"/>
      <c r="C45" s="78"/>
      <c r="D45" s="51"/>
      <c r="E45" s="51"/>
      <c r="F45" s="52"/>
      <c r="G45" s="55"/>
      <c r="H45" s="53"/>
      <c r="I45" s="47" t="str">
        <f>IF($D45="","",IF($D45="수입",IF(N($F45)=0,"",$F45*IF($E45="USD",설정!$C$11,IF($E45="CNY",설정!$C$12,1))*(1+설정!$C$17)),IF(N($G45)=0,"",$G45*(1+설정!$C$23))))</f>
        <v/>
      </c>
      <c r="J45" s="49"/>
      <c r="K45" s="49"/>
      <c r="L45" s="48" t="str">
        <f>IF($I45="","",IFERROR(IF(설정!$C$26="원가 가산",$I45*(1+IF($J45="",설정!$C$24,$J45)),$I45/(1-IF($J45="",설정!$C$24,$J45))),0))</f>
        <v/>
      </c>
      <c r="M45" s="48" t="str">
        <f>IF($I45="","",IFERROR(IF(설정!$C$27&lt;=1,ROUND(IF(설정!$C$26="원가 가산",$L45*(1+IF($K45="",설정!$C$25,$K45)),$I45/(1-IF($J45="",설정!$C$24,$J45)-IF($K45="",설정!$C$25,$K45))),0),CEILING(IF(설정!$C$26="원가 가산",$L45*(1+IF($K45="",설정!$C$25,$K45)),$I45/(1-IF($J45="",설정!$C$24,$J45)-IF($K45="",설정!$C$25,$K45))),설정!$C$27)),0))</f>
        <v/>
      </c>
      <c r="N45" s="55"/>
      <c r="O45" s="48" t="str">
        <f t="shared" si="0"/>
        <v/>
      </c>
      <c r="P45" s="48" t="str">
        <f>IF($O45="","",IF(설정!$C$26="원가 가산",$I45*IF($J45="",설정!$C$24,$J45),$O45*IF($J45="",설정!$C$24,$J45)))</f>
        <v/>
      </c>
      <c r="Q45" s="48" t="str">
        <f t="shared" si="1"/>
        <v/>
      </c>
      <c r="R45" s="50" t="str">
        <f t="shared" si="2"/>
        <v/>
      </c>
      <c r="S45" s="50" t="str">
        <f t="shared" si="3"/>
        <v/>
      </c>
      <c r="T45" s="50" t="str">
        <f t="shared" si="4"/>
        <v/>
      </c>
      <c r="U45" s="48" t="str">
        <f t="shared" si="5"/>
        <v/>
      </c>
      <c r="V45" s="57" t="str">
        <f t="shared" si="6"/>
        <v/>
      </c>
    </row>
    <row r="46" spans="2:22" ht="18" thickBot="1">
      <c r="B46" s="58" t="s">
        <v>124</v>
      </c>
      <c r="C46" s="79"/>
      <c r="D46" s="59"/>
      <c r="E46" s="59"/>
      <c r="F46" s="59"/>
      <c r="G46" s="59"/>
      <c r="H46" s="60">
        <f>SUM(H6:H45)</f>
        <v>1000</v>
      </c>
      <c r="I46" s="59"/>
      <c r="J46" s="59"/>
      <c r="K46" s="59"/>
      <c r="L46" s="59"/>
      <c r="M46" s="59"/>
      <c r="N46" s="59"/>
      <c r="O46" s="59"/>
      <c r="P46" s="59"/>
      <c r="Q46" s="59"/>
      <c r="R46" s="61">
        <f>IFERROR(SUM(V6:V45)/SUM(U6:U45),0)</f>
        <v>0.48223076923076924</v>
      </c>
      <c r="S46" s="59"/>
      <c r="T46" s="59"/>
      <c r="U46" s="62">
        <f>SUM(U6:U45)</f>
        <v>32500000</v>
      </c>
      <c r="V46" s="63">
        <f>SUM(V6:V45)</f>
        <v>15672500</v>
      </c>
    </row>
    <row r="48" spans="2:22">
      <c r="B48" s="4" t="s">
        <v>143</v>
      </c>
      <c r="C48" s="4"/>
    </row>
    <row r="49" spans="2:3">
      <c r="B49" s="4" t="s">
        <v>144</v>
      </c>
      <c r="C49" s="4"/>
    </row>
    <row r="50" spans="2:3">
      <c r="B50" s="4" t="s">
        <v>145</v>
      </c>
      <c r="C50" s="4"/>
    </row>
    <row r="51" spans="2:3">
      <c r="B51" s="3" t="s">
        <v>146</v>
      </c>
      <c r="C51" s="3"/>
    </row>
    <row r="52" spans="2:3">
      <c r="B52" s="3" t="s">
        <v>147</v>
      </c>
      <c r="C52" s="3"/>
    </row>
    <row r="53" spans="2:3">
      <c r="B53" s="4" t="s">
        <v>148</v>
      </c>
      <c r="C53" s="4"/>
    </row>
  </sheetData>
  <phoneticPr fontId="27" type="noConversion"/>
  <conditionalFormatting sqref="N6:N45">
    <cfRule type="expression" dxfId="1" priority="1">
      <formula>AND(N($N6)&gt;0,N($L6)&gt;0,$N6&lt;$L6)</formula>
    </cfRule>
  </conditionalFormatting>
  <conditionalFormatting sqref="S6:S45">
    <cfRule type="expression" dxfId="0" priority="2">
      <formula>AND(N($O6)&gt;0,$O6&lt;$M6)</formula>
    </cfRule>
  </conditionalFormatting>
  <dataValidations count="2">
    <dataValidation type="list" allowBlank="1" sqref="D6:D45" xr:uid="{00000000-0002-0000-0400-000000000000}">
      <formula1>"수입,국내"</formula1>
    </dataValidation>
    <dataValidation type="list" allowBlank="1" sqref="E6:E45" xr:uid="{00000000-0002-0000-0400-000001000000}">
      <formula1>"USD,CNY,KRW"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62"/>
  <sheetViews>
    <sheetView showGridLines="0" workbookViewId="0">
      <selection activeCell="E45" sqref="E45"/>
    </sheetView>
  </sheetViews>
  <sheetFormatPr defaultRowHeight="17.399999999999999"/>
  <cols>
    <col min="1" max="1" width="3.69921875" customWidth="1"/>
    <col min="2" max="2" width="104" customWidth="1"/>
  </cols>
  <sheetData>
    <row r="1" spans="2:2" ht="15" customHeight="1"/>
    <row r="2" spans="2:2" ht="21">
      <c r="B2" s="1" t="s">
        <v>0</v>
      </c>
    </row>
    <row r="3" spans="2:2" ht="9" customHeight="1" thickBot="1">
      <c r="B3" s="2"/>
    </row>
    <row r="4" spans="2:2">
      <c r="B4" s="9" t="s">
        <v>1</v>
      </c>
    </row>
    <row r="5" spans="2:2">
      <c r="B5" s="6" t="s">
        <v>2</v>
      </c>
    </row>
    <row r="6" spans="2:2">
      <c r="B6" s="6" t="s">
        <v>3</v>
      </c>
    </row>
    <row r="7" spans="2:2">
      <c r="B7" s="6" t="s">
        <v>4</v>
      </c>
    </row>
    <row r="8" spans="2:2">
      <c r="B8" s="6" t="s">
        <v>5</v>
      </c>
    </row>
    <row r="9" spans="2:2">
      <c r="B9" s="6" t="s">
        <v>6</v>
      </c>
    </row>
    <row r="10" spans="2:2">
      <c r="B10" s="6"/>
    </row>
    <row r="11" spans="2:2">
      <c r="B11" s="10" t="s">
        <v>7</v>
      </c>
    </row>
    <row r="12" spans="2:2">
      <c r="B12" s="6" t="s">
        <v>8</v>
      </c>
    </row>
    <row r="13" spans="2:2">
      <c r="B13" s="6" t="s">
        <v>9</v>
      </c>
    </row>
    <row r="14" spans="2:2">
      <c r="B14" s="6" t="s">
        <v>10</v>
      </c>
    </row>
    <row r="15" spans="2:2">
      <c r="B15" s="6" t="s">
        <v>11</v>
      </c>
    </row>
    <row r="16" spans="2:2">
      <c r="B16" s="7" t="s">
        <v>12</v>
      </c>
    </row>
    <row r="17" spans="2:2">
      <c r="B17" s="7" t="s">
        <v>13</v>
      </c>
    </row>
    <row r="18" spans="2:2">
      <c r="B18" s="6"/>
    </row>
    <row r="19" spans="2:2">
      <c r="B19" s="10" t="s">
        <v>14</v>
      </c>
    </row>
    <row r="20" spans="2:2">
      <c r="B20" s="6" t="s">
        <v>15</v>
      </c>
    </row>
    <row r="21" spans="2:2">
      <c r="B21" s="6" t="s">
        <v>16</v>
      </c>
    </row>
    <row r="22" spans="2:2">
      <c r="B22" s="6" t="s">
        <v>17</v>
      </c>
    </row>
    <row r="23" spans="2:2">
      <c r="B23" s="6" t="s">
        <v>18</v>
      </c>
    </row>
    <row r="24" spans="2:2">
      <c r="B24" s="6" t="s">
        <v>19</v>
      </c>
    </row>
    <row r="25" spans="2:2">
      <c r="B25" s="6"/>
    </row>
    <row r="26" spans="2:2">
      <c r="B26" s="10" t="s">
        <v>20</v>
      </c>
    </row>
    <row r="27" spans="2:2">
      <c r="B27" s="6" t="s">
        <v>21</v>
      </c>
    </row>
    <row r="28" spans="2:2">
      <c r="B28" s="6" t="s">
        <v>22</v>
      </c>
    </row>
    <row r="29" spans="2:2">
      <c r="B29" s="6" t="s">
        <v>23</v>
      </c>
    </row>
    <row r="30" spans="2:2">
      <c r="B30" s="6"/>
    </row>
    <row r="31" spans="2:2">
      <c r="B31" s="10" t="s">
        <v>24</v>
      </c>
    </row>
    <row r="32" spans="2:2">
      <c r="B32" s="6" t="s">
        <v>25</v>
      </c>
    </row>
    <row r="33" spans="2:2">
      <c r="B33" s="6"/>
    </row>
    <row r="34" spans="2:2">
      <c r="B34" s="6" t="s">
        <v>26</v>
      </c>
    </row>
    <row r="35" spans="2:2">
      <c r="B35" s="6" t="s">
        <v>27</v>
      </c>
    </row>
    <row r="36" spans="2:2">
      <c r="B36" s="6" t="s">
        <v>28</v>
      </c>
    </row>
    <row r="37" spans="2:2">
      <c r="B37" s="6" t="s">
        <v>29</v>
      </c>
    </row>
    <row r="38" spans="2:2">
      <c r="B38" s="6" t="s">
        <v>30</v>
      </c>
    </row>
    <row r="39" spans="2:2">
      <c r="B39" s="6" t="s">
        <v>31</v>
      </c>
    </row>
    <row r="40" spans="2:2">
      <c r="B40" s="6" t="s">
        <v>32</v>
      </c>
    </row>
    <row r="41" spans="2:2">
      <c r="B41" s="6" t="s">
        <v>33</v>
      </c>
    </row>
    <row r="42" spans="2:2">
      <c r="B42" s="6" t="s">
        <v>34</v>
      </c>
    </row>
    <row r="43" spans="2:2">
      <c r="B43" s="6" t="s">
        <v>35</v>
      </c>
    </row>
    <row r="44" spans="2:2">
      <c r="B44" s="6" t="s">
        <v>36</v>
      </c>
    </row>
    <row r="45" spans="2:2">
      <c r="B45" s="6" t="s">
        <v>37</v>
      </c>
    </row>
    <row r="46" spans="2:2">
      <c r="B46" s="6"/>
    </row>
    <row r="47" spans="2:2">
      <c r="B47" s="6" t="s">
        <v>38</v>
      </c>
    </row>
    <row r="48" spans="2:2">
      <c r="B48" s="6" t="s">
        <v>39</v>
      </c>
    </row>
    <row r="49" spans="2:2">
      <c r="B49" s="6" t="s">
        <v>40</v>
      </c>
    </row>
    <row r="50" spans="2:2">
      <c r="B50" s="6" t="s">
        <v>41</v>
      </c>
    </row>
    <row r="51" spans="2:2">
      <c r="B51" s="6"/>
    </row>
    <row r="52" spans="2:2">
      <c r="B52" s="10" t="s">
        <v>42</v>
      </c>
    </row>
    <row r="53" spans="2:2">
      <c r="B53" s="6" t="s">
        <v>43</v>
      </c>
    </row>
    <row r="54" spans="2:2">
      <c r="B54" s="6" t="s">
        <v>44</v>
      </c>
    </row>
    <row r="55" spans="2:2">
      <c r="B55" s="6"/>
    </row>
    <row r="56" spans="2:2">
      <c r="B56" s="10" t="s">
        <v>45</v>
      </c>
    </row>
    <row r="57" spans="2:2">
      <c r="B57" s="6" t="s">
        <v>46</v>
      </c>
    </row>
    <row r="58" spans="2:2">
      <c r="B58" s="6" t="s">
        <v>47</v>
      </c>
    </row>
    <row r="59" spans="2:2">
      <c r="B59" s="6" t="s">
        <v>48</v>
      </c>
    </row>
    <row r="60" spans="2:2">
      <c r="B60" s="6" t="s">
        <v>49</v>
      </c>
    </row>
    <row r="61" spans="2:2">
      <c r="B61" s="6" t="s">
        <v>50</v>
      </c>
    </row>
    <row r="62" spans="2:2" ht="18" thickBot="1">
      <c r="B62" s="8" t="s">
        <v>51</v>
      </c>
    </row>
  </sheetData>
  <phoneticPr fontId="2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3"/>
  <sheetViews>
    <sheetView showGridLines="0" topLeftCell="A7" workbookViewId="0">
      <selection activeCell="D26" sqref="D26"/>
    </sheetView>
  </sheetViews>
  <sheetFormatPr defaultRowHeight="17.399999999999999"/>
  <cols>
    <col min="1" max="1" width="3.69921875" customWidth="1"/>
    <col min="2" max="2" width="18.296875" customWidth="1"/>
    <col min="3" max="3" width="12.69921875" customWidth="1"/>
    <col min="4" max="4" width="81.3984375" customWidth="1"/>
  </cols>
  <sheetData>
    <row r="1" spans="2:4" ht="15" customHeight="1"/>
    <row r="2" spans="2:4" ht="21">
      <c r="B2" s="1" t="s">
        <v>52</v>
      </c>
    </row>
    <row r="3" spans="2:4">
      <c r="B3" s="4" t="s">
        <v>53</v>
      </c>
    </row>
    <row r="4" spans="2:4" ht="9.6" customHeight="1" thickBot="1"/>
    <row r="5" spans="2:4">
      <c r="B5" s="45" t="s">
        <v>54</v>
      </c>
      <c r="C5" s="11"/>
      <c r="D5" s="12"/>
    </row>
    <row r="6" spans="2:4">
      <c r="B6" s="13" t="s">
        <v>55</v>
      </c>
      <c r="C6" s="33" t="s">
        <v>56</v>
      </c>
      <c r="D6" s="28" t="s">
        <v>57</v>
      </c>
    </row>
    <row r="7" spans="2:4">
      <c r="B7" s="13" t="s">
        <v>58</v>
      </c>
      <c r="C7" s="34">
        <f ca="1">EOMONTH(TODAY(),IF($C$6="당월 평균",0,-1))</f>
        <v>46265</v>
      </c>
      <c r="D7" s="28" t="s">
        <v>59</v>
      </c>
    </row>
    <row r="8" spans="2:4">
      <c r="B8" s="13" t="s">
        <v>60</v>
      </c>
      <c r="C8" s="35" t="str">
        <f ca="1">IF($C$6="직접 입력",$C$9,RIGHT("0000"&amp;YEAR($C$7),4)&amp;"-"&amp;RIGHT("00"&amp;MONTH($C$7),2))</f>
        <v>2026-08</v>
      </c>
      <c r="D8" s="28" t="s">
        <v>61</v>
      </c>
    </row>
    <row r="9" spans="2:4">
      <c r="B9" s="13" t="s">
        <v>62</v>
      </c>
      <c r="C9" s="36" t="s">
        <v>63</v>
      </c>
      <c r="D9" s="28" t="s">
        <v>64</v>
      </c>
    </row>
    <row r="10" spans="2:4">
      <c r="B10" s="37"/>
      <c r="C10" s="38"/>
      <c r="D10" s="29"/>
    </row>
    <row r="11" spans="2:4">
      <c r="B11" s="13" t="s">
        <v>65</v>
      </c>
      <c r="C11" s="39">
        <f ca="1">IF($C$6="직접 입력",$C$13,IFERROR(INDEX(월평균환율!$C$6:$C$101,MATCH($C$8,월평균환율!$B$6:$B$101,0)),$C$13))</f>
        <v>1406.3</v>
      </c>
      <c r="D11" s="28" t="s">
        <v>66</v>
      </c>
    </row>
    <row r="12" spans="2:4">
      <c r="B12" s="13" t="s">
        <v>67</v>
      </c>
      <c r="C12" s="39">
        <f ca="1">IF($C$6="직접 입력",$C$14,IFERROR(INDEX(월평균환율!$D$6:$D$101,MATCH($C$8,월평균환율!$B$6:$B$101,0)),$C$14))</f>
        <v>208.69</v>
      </c>
      <c r="D12" s="29"/>
    </row>
    <row r="13" spans="2:4">
      <c r="B13" s="13" t="s">
        <v>68</v>
      </c>
      <c r="C13" s="40">
        <v>1380</v>
      </c>
      <c r="D13" s="30" t="s">
        <v>69</v>
      </c>
    </row>
    <row r="14" spans="2:4">
      <c r="B14" s="13" t="s">
        <v>70</v>
      </c>
      <c r="C14" s="40">
        <v>190</v>
      </c>
      <c r="D14" s="30" t="s">
        <v>69</v>
      </c>
    </row>
    <row r="15" spans="2:4">
      <c r="B15" s="37"/>
      <c r="C15" s="38"/>
      <c r="D15" s="29"/>
    </row>
    <row r="16" spans="2:4">
      <c r="B16" s="41" t="s">
        <v>71</v>
      </c>
      <c r="C16" s="42"/>
      <c r="D16" s="31"/>
    </row>
    <row r="17" spans="2:4">
      <c r="B17" s="13" t="s">
        <v>72</v>
      </c>
      <c r="C17" s="43">
        <v>0.1</v>
      </c>
      <c r="D17" s="28" t="s">
        <v>73</v>
      </c>
    </row>
    <row r="18" spans="2:4">
      <c r="B18" s="13" t="s">
        <v>74</v>
      </c>
      <c r="C18" s="43">
        <v>0.3</v>
      </c>
      <c r="D18" s="28" t="s">
        <v>75</v>
      </c>
    </row>
    <row r="19" spans="2:4">
      <c r="B19" s="13" t="s">
        <v>76</v>
      </c>
      <c r="C19" s="33" t="s">
        <v>149</v>
      </c>
      <c r="D19" s="28" t="s">
        <v>77</v>
      </c>
    </row>
    <row r="20" spans="2:4">
      <c r="B20" s="13" t="s">
        <v>78</v>
      </c>
      <c r="C20" s="44">
        <v>100</v>
      </c>
      <c r="D20" s="28" t="s">
        <v>79</v>
      </c>
    </row>
    <row r="21" spans="2:4">
      <c r="B21" s="37"/>
      <c r="C21" s="38"/>
      <c r="D21" s="29"/>
    </row>
    <row r="22" spans="2:4">
      <c r="B22" s="41" t="s">
        <v>80</v>
      </c>
      <c r="C22" s="42"/>
      <c r="D22" s="31"/>
    </row>
    <row r="23" spans="2:4">
      <c r="B23" s="13" t="s">
        <v>81</v>
      </c>
      <c r="C23" s="43">
        <v>0</v>
      </c>
      <c r="D23" s="28" t="s">
        <v>82</v>
      </c>
    </row>
    <row r="24" spans="2:4">
      <c r="B24" s="13" t="s">
        <v>83</v>
      </c>
      <c r="C24" s="43">
        <v>8.6999999999999994E-2</v>
      </c>
      <c r="D24" s="28" t="s">
        <v>84</v>
      </c>
    </row>
    <row r="25" spans="2:4">
      <c r="B25" s="13" t="s">
        <v>85</v>
      </c>
      <c r="C25" s="43">
        <v>0.1</v>
      </c>
      <c r="D25" s="28" t="s">
        <v>86</v>
      </c>
    </row>
    <row r="26" spans="2:4">
      <c r="B26" s="13" t="s">
        <v>87</v>
      </c>
      <c r="C26" s="33" t="s">
        <v>88</v>
      </c>
      <c r="D26" s="28" t="s">
        <v>89</v>
      </c>
    </row>
    <row r="27" spans="2:4">
      <c r="B27" s="13" t="s">
        <v>90</v>
      </c>
      <c r="C27" s="44">
        <v>100</v>
      </c>
      <c r="D27" s="28" t="s">
        <v>91</v>
      </c>
    </row>
    <row r="28" spans="2:4">
      <c r="B28" s="14"/>
      <c r="D28" s="15"/>
    </row>
    <row r="29" spans="2:4">
      <c r="B29" s="41" t="s">
        <v>92</v>
      </c>
      <c r="C29" s="18"/>
      <c r="D29" s="17"/>
    </row>
    <row r="30" spans="2:4">
      <c r="B30" s="13" t="s">
        <v>93</v>
      </c>
      <c r="C30" s="26" t="s">
        <v>94</v>
      </c>
      <c r="D30" s="15"/>
    </row>
    <row r="31" spans="2:4">
      <c r="B31" s="19" t="s">
        <v>95</v>
      </c>
      <c r="C31" s="26" t="s">
        <v>96</v>
      </c>
      <c r="D31" s="15"/>
    </row>
    <row r="32" spans="2:4">
      <c r="B32" s="13" t="s">
        <v>97</v>
      </c>
      <c r="C32" s="26" t="s">
        <v>98</v>
      </c>
      <c r="D32" s="15"/>
    </row>
    <row r="33" spans="2:4" ht="18" thickBot="1">
      <c r="B33" s="46" t="s">
        <v>99</v>
      </c>
      <c r="C33" s="27" t="s">
        <v>100</v>
      </c>
      <c r="D33" s="20"/>
    </row>
  </sheetData>
  <phoneticPr fontId="27" type="noConversion"/>
  <dataValidations count="3">
    <dataValidation type="list" sqref="C6" xr:uid="{00000000-0002-0000-0100-000000000000}">
      <formula1>"전월 평균,당월 평균,직접 입력"</formula1>
    </dataValidation>
    <dataValidation type="list" sqref="C19" xr:uid="{00000000-0002-0000-0100-000001000000}">
      <formula1>"원가 가산,판매가 마진"</formula1>
    </dataValidation>
    <dataValidation type="list" sqref="C26" xr:uid="{00000000-0002-0000-0100-000002000000}">
      <formula1>"매출 대비,원가 가산"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31"/>
  <sheetViews>
    <sheetView showGridLines="0" zoomScaleNormal="100" workbookViewId="0">
      <selection activeCell="D17" sqref="D17"/>
    </sheetView>
  </sheetViews>
  <sheetFormatPr defaultRowHeight="17.399999999999999"/>
  <cols>
    <col min="1" max="1" width="3.69921875" customWidth="1"/>
    <col min="2" max="2" width="10.8984375" customWidth="1"/>
    <col min="3" max="4" width="12" customWidth="1"/>
    <col min="5" max="5" width="155.8984375" customWidth="1"/>
  </cols>
  <sheetData>
    <row r="1" spans="2:5" ht="15" customHeight="1"/>
    <row r="2" spans="2:5" ht="21">
      <c r="B2" s="1" t="s">
        <v>101</v>
      </c>
    </row>
    <row r="3" spans="2:5">
      <c r="B3" s="4" t="s">
        <v>102</v>
      </c>
    </row>
    <row r="4" spans="2:5" ht="18" thickBot="1"/>
    <row r="5" spans="2:5">
      <c r="B5" s="21" t="s">
        <v>103</v>
      </c>
      <c r="C5" s="22" t="s">
        <v>104</v>
      </c>
      <c r="D5" s="22" t="s">
        <v>105</v>
      </c>
      <c r="E5" s="25"/>
    </row>
    <row r="6" spans="2:5">
      <c r="B6" s="32" t="s">
        <v>106</v>
      </c>
      <c r="C6" s="83">
        <v>1391.83</v>
      </c>
      <c r="D6" s="83">
        <v>195.36</v>
      </c>
      <c r="E6" s="16"/>
    </row>
    <row r="7" spans="2:5">
      <c r="B7" s="32" t="s">
        <v>153</v>
      </c>
      <c r="C7" s="83">
        <v>1423.36</v>
      </c>
      <c r="D7" s="83">
        <v>199.82</v>
      </c>
      <c r="E7" s="16"/>
    </row>
    <row r="8" spans="2:5">
      <c r="B8" s="32" t="s">
        <v>154</v>
      </c>
      <c r="C8" s="83">
        <v>1457.77</v>
      </c>
      <c r="D8" s="83">
        <v>205.04</v>
      </c>
      <c r="E8" s="16"/>
    </row>
    <row r="9" spans="2:5">
      <c r="B9" s="32" t="s">
        <v>155</v>
      </c>
      <c r="C9" s="83">
        <v>1467.4</v>
      </c>
      <c r="D9" s="83">
        <v>208.26</v>
      </c>
      <c r="E9" s="16"/>
    </row>
    <row r="10" spans="2:5">
      <c r="B10" s="32" t="s">
        <v>154</v>
      </c>
      <c r="C10" s="83">
        <v>1456.51</v>
      </c>
      <c r="D10" s="83">
        <v>209.08</v>
      </c>
      <c r="E10" s="16"/>
    </row>
    <row r="11" spans="2:5">
      <c r="B11" s="32" t="s">
        <v>153</v>
      </c>
      <c r="C11" s="83">
        <v>1449.32</v>
      </c>
      <c r="D11" s="83">
        <v>209.73</v>
      </c>
      <c r="E11" s="16"/>
    </row>
    <row r="12" spans="2:5">
      <c r="B12" s="32" t="s">
        <v>106</v>
      </c>
      <c r="C12" s="83">
        <v>1486.64</v>
      </c>
      <c r="D12" s="83">
        <v>215.65</v>
      </c>
      <c r="E12" s="15"/>
    </row>
    <row r="13" spans="2:5">
      <c r="B13" s="32" t="s">
        <v>107</v>
      </c>
      <c r="C13" s="83">
        <v>1487.39</v>
      </c>
      <c r="D13" s="83">
        <v>217.41</v>
      </c>
      <c r="E13" s="15"/>
    </row>
    <row r="14" spans="2:5">
      <c r="B14" s="32" t="s">
        <v>108</v>
      </c>
      <c r="C14" s="83">
        <v>1490.11</v>
      </c>
      <c r="D14" s="83">
        <v>219.11</v>
      </c>
      <c r="E14" s="15"/>
    </row>
    <row r="15" spans="2:5">
      <c r="B15" s="32" t="s">
        <v>109</v>
      </c>
      <c r="C15" s="83">
        <v>1527.3</v>
      </c>
      <c r="D15" s="83">
        <v>225.51</v>
      </c>
      <c r="E15" s="15"/>
    </row>
    <row r="16" spans="2:5">
      <c r="B16" s="32" t="s">
        <v>110</v>
      </c>
      <c r="C16" s="83">
        <v>1497.43</v>
      </c>
      <c r="D16" s="83">
        <v>220.94</v>
      </c>
      <c r="E16" s="15"/>
    </row>
    <row r="17" spans="2:5">
      <c r="B17" s="32" t="s">
        <v>63</v>
      </c>
      <c r="C17" s="83">
        <v>1406.3</v>
      </c>
      <c r="D17" s="83">
        <v>208.69</v>
      </c>
      <c r="E17" s="15"/>
    </row>
    <row r="18" spans="2:5">
      <c r="B18" s="23"/>
      <c r="C18" s="82"/>
      <c r="D18" s="82"/>
      <c r="E18" s="15"/>
    </row>
    <row r="19" spans="2:5">
      <c r="B19" s="23"/>
      <c r="C19" s="82"/>
      <c r="D19" s="82"/>
      <c r="E19" s="15"/>
    </row>
    <row r="20" spans="2:5">
      <c r="B20" s="23"/>
      <c r="C20" s="82"/>
      <c r="D20" s="82"/>
      <c r="E20" s="15"/>
    </row>
    <row r="21" spans="2:5">
      <c r="B21" s="23"/>
      <c r="C21" s="82"/>
      <c r="D21" s="82"/>
      <c r="E21" s="15"/>
    </row>
    <row r="22" spans="2:5">
      <c r="B22" s="23"/>
      <c r="C22" s="82"/>
      <c r="D22" s="82"/>
      <c r="E22" s="15"/>
    </row>
    <row r="23" spans="2:5">
      <c r="B23" s="23"/>
      <c r="C23" s="82"/>
      <c r="D23" s="82"/>
      <c r="E23" s="15"/>
    </row>
    <row r="24" spans="2:5">
      <c r="B24" s="23"/>
      <c r="C24" s="82"/>
      <c r="D24" s="82"/>
      <c r="E24" s="15"/>
    </row>
    <row r="25" spans="2:5">
      <c r="B25" s="23"/>
      <c r="C25" s="82"/>
      <c r="D25" s="82"/>
      <c r="E25" s="15"/>
    </row>
    <row r="26" spans="2:5">
      <c r="B26" s="23"/>
      <c r="C26" s="82"/>
      <c r="D26" s="82"/>
      <c r="E26" s="15"/>
    </row>
    <row r="27" spans="2:5">
      <c r="B27" s="23"/>
      <c r="C27" s="82"/>
      <c r="D27" s="82"/>
      <c r="E27" s="15"/>
    </row>
    <row r="28" spans="2:5">
      <c r="B28" s="23"/>
      <c r="C28" s="82"/>
      <c r="D28" s="82"/>
      <c r="E28" s="15"/>
    </row>
    <row r="29" spans="2:5" ht="18" thickBot="1">
      <c r="B29" s="24"/>
      <c r="C29" s="81"/>
      <c r="D29" s="81"/>
      <c r="E29" s="20"/>
    </row>
    <row r="31" spans="2:5">
      <c r="B31" s="3" t="s">
        <v>111</v>
      </c>
    </row>
  </sheetData>
  <phoneticPr fontId="27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자재판매가산출</vt:lpstr>
      <vt:lpstr>상품판매가산출</vt:lpstr>
      <vt:lpstr>사용안내</vt:lpstr>
      <vt:lpstr>설정</vt:lpstr>
      <vt:lpstr>월평균환율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오정민</cp:lastModifiedBy>
  <dcterms:created xsi:type="dcterms:W3CDTF">2026-09-08T05:14:17Z</dcterms:created>
  <dcterms:modified xsi:type="dcterms:W3CDTF">2026-09-08T23:41:49Z</dcterms:modified>
</cp:coreProperties>
</file>