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1" autoFilterDateGrouping="1"/>
  </bookViews>
  <sheets>
    <sheet name="자재판매가산출" sheetId="1" state="visible" r:id="rId1"/>
    <sheet name="상품판매가산출" sheetId="2" state="visible" r:id="rId2"/>
    <sheet name="태성재판매가산출" sheetId="3" state="visible" r:id="rId3"/>
    <sheet name="Sheet1" sheetId="4" state="visible" r:id="rId4"/>
    <sheet name="유통가 보고" sheetId="5" state="visible" r:id="rId5"/>
    <sheet name="사용안내" sheetId="6" state="visible" r:id="rId6"/>
    <sheet name="설정" sheetId="7" state="visible" r:id="rId7"/>
    <sheet name="월평균환율" sheetId="8" state="visible" r:id="rId8"/>
  </sheets>
  <definedNames>
    <definedName name="_xlnm._FilterDatabase" localSheetId="4" hidden="1">'유통가 보고'!$B$6:$K$26</definedName>
    <definedName name="_xlnm.Print_Titles" localSheetId="4">'유통가 보고'!$6:$6</definedName>
    <definedName name="_xlnm.Print_Area" localSheetId="4">'유통가 보고'!$B$2:$K$27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%"/>
    <numFmt numFmtId="166" formatCode="#,##0;\(#,##0\);\-"/>
    <numFmt numFmtId="167" formatCode="0.00_);[Red]\(0.00\)"/>
    <numFmt numFmtId="168" formatCode="#,##0;(#,##0);-"/>
  </numFmts>
  <fonts count="36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14606B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008000"/>
      <sz val="10"/>
    </font>
    <font>
      <name val="맑은 고딕"/>
      <charset val="129"/>
      <family val="3"/>
      <color rgb="FFC00000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808080"/>
      <sz val="9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008000"/>
      <sz val="10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C00000"/>
      <sz val="9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b val="1"/>
      <color theme="0" tint="-0.499984740745262"/>
      <sz val="9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B050"/>
      <sz val="10"/>
    </font>
    <font>
      <name val="맑은 고딕"/>
      <sz val="10"/>
    </font>
    <font>
      <name val="맑은 고딕"/>
      <color rgb="000000FF"/>
      <sz val="10"/>
    </font>
    <font>
      <name val="맑은 고딕"/>
      <color rgb="00808080"/>
      <sz val="9"/>
    </font>
    <font>
      <name val="맑은 고딕"/>
      <b val="1"/>
      <sz val="10"/>
    </font>
    <font>
      <name val="맑은 고딕"/>
      <color rgb="00000000"/>
      <sz val="10"/>
    </font>
    <font>
      <name val="맑은 고딕"/>
      <color rgb="00C00000"/>
      <sz val="9"/>
    </font>
    <font>
      <name val="맑은 고딕"/>
      <color rgb="00008000"/>
      <sz val="10"/>
    </font>
    <font>
      <name val="맑은 고딕"/>
      <b val="1"/>
      <color rgb="0014606B"/>
      <sz val="10"/>
    </font>
    <font>
      <name val="맑은 고딕"/>
      <b val="1"/>
      <sz val="14"/>
    </font>
  </fonts>
  <fills count="11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FFFF00"/>
      </patternFill>
    </fill>
    <fill>
      <patternFill patternType="solid">
        <fgColor rgb="00E8EFEE"/>
      </patternFill>
    </fill>
    <fill>
      <patternFill patternType="solid">
        <fgColor rgb="00F2F2F2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3">
    <xf numFmtId="0" fontId="0" fillId="0" borderId="0"/>
    <xf numFmtId="0" fontId="1" fillId="0" borderId="0" applyAlignment="1">
      <alignment vertical="center"/>
    </xf>
    <xf numFmtId="0" fontId="1" fillId="3" borderId="2" applyAlignment="1">
      <alignment vertical="center"/>
    </xf>
  </cellStyleXfs>
  <cellXfs count="185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5" fillId="0" borderId="4" pivotButton="0" quotePrefix="0" xfId="0"/>
    <xf numFmtId="0" fontId="10" fillId="0" borderId="4" pivotButton="0" quotePrefix="0" xfId="0"/>
    <xf numFmtId="0" fontId="5" fillId="0" borderId="5" pivotButton="0" quotePrefix="0" xfId="0"/>
    <xf numFmtId="0" fontId="4" fillId="4" borderId="3" pivotButton="0" quotePrefix="0" xfId="0"/>
    <xf numFmtId="0" fontId="4" fillId="4" borderId="4" pivotButton="0" quotePrefix="0" xfId="0"/>
    <xf numFmtId="0" fontId="0" fillId="4" borderId="7" pivotButton="0" quotePrefix="0" xfId="0"/>
    <xf numFmtId="0" fontId="0" fillId="4" borderId="8" pivotButton="0" quotePrefix="0" xfId="0"/>
    <xf numFmtId="0" fontId="8" fillId="0" borderId="9" pivotButton="0" quotePrefix="0" xfId="0"/>
    <xf numFmtId="0" fontId="12" fillId="0" borderId="9" pivotButton="0" quotePrefix="0" xfId="0"/>
    <xf numFmtId="0" fontId="0" fillId="0" borderId="10" pivotButton="0" quotePrefix="0" xfId="0"/>
    <xf numFmtId="0" fontId="0" fillId="4" borderId="10" pivotButton="0" quotePrefix="0" xfId="0"/>
    <xf numFmtId="0" fontId="0" fillId="4" borderId="0" pivotButton="0" quotePrefix="0" xfId="0"/>
    <xf numFmtId="0" fontId="8" fillId="2" borderId="9" pivotButton="0" quotePrefix="0" xfId="0"/>
    <xf numFmtId="0" fontId="0" fillId="0" borderId="13" pivotButton="0" quotePrefix="0" xfId="0"/>
    <xf numFmtId="0" fontId="8" fillId="4" borderId="15" applyAlignment="1" pivotButton="0" quotePrefix="0" xfId="0">
      <alignment horizontal="center" vertical="center"/>
    </xf>
    <xf numFmtId="0" fontId="8" fillId="4" borderId="16" applyAlignment="1" pivotButton="0" quotePrefix="0" xfId="0">
      <alignment horizontal="center" vertical="center"/>
    </xf>
    <xf numFmtId="49" fontId="6" fillId="0" borderId="17" applyAlignment="1" pivotButton="0" quotePrefix="0" xfId="0">
      <alignment horizontal="center"/>
    </xf>
    <xf numFmtId="49" fontId="6" fillId="0" borderId="19" applyAlignment="1" pivotButton="0" quotePrefix="0" xfId="0">
      <alignment horizontal="center"/>
    </xf>
    <xf numFmtId="0" fontId="0" fillId="0" borderId="8" pivotButton="0" quotePrefix="0" xfId="0"/>
    <xf numFmtId="0" fontId="13" fillId="0" borderId="0" pivotButton="0" quotePrefix="0" xfId="0"/>
    <xf numFmtId="0" fontId="13" fillId="0" borderId="10" pivotButton="0" quotePrefix="0" xfId="0"/>
    <xf numFmtId="0" fontId="12" fillId="0" borderId="10" pivotButton="0" quotePrefix="0" xfId="0"/>
    <xf numFmtId="0" fontId="12" fillId="4" borderId="10" pivotButton="0" quotePrefix="0" xfId="0"/>
    <xf numFmtId="49" fontId="5" fillId="0" borderId="17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14" fillId="0" borderId="9" pivotButton="0" quotePrefix="0" xfId="0"/>
    <xf numFmtId="0" fontId="15" fillId="0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4" fontId="5" fillId="2" borderId="1" applyAlignment="1" pivotButton="0" quotePrefix="0" xfId="0">
      <alignment horizontal="center" vertical="center"/>
    </xf>
    <xf numFmtId="0" fontId="8" fillId="4" borderId="9" pivotButton="0" quotePrefix="0" xfId="0"/>
    <xf numFmtId="0" fontId="15" fillId="4" borderId="0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0" fontId="8" fillId="4" borderId="6" pivotButton="0" quotePrefix="0" xfId="0"/>
    <xf numFmtId="0" fontId="8" fillId="0" borderId="11" pivotButton="0" quotePrefix="0" xfId="0"/>
    <xf numFmtId="166" fontId="9" fillId="0" borderId="14" pivotButton="0" quotePrefix="0" xfId="0"/>
    <xf numFmtId="166" fontId="7" fillId="0" borderId="14" pivotButton="0" quotePrefix="0" xfId="0"/>
    <xf numFmtId="165" fontId="6" fillId="0" borderId="14" pivotButton="0" quotePrefix="0" xfId="0"/>
    <xf numFmtId="165" fontId="7" fillId="0" borderId="14" pivotButton="0" quotePrefix="0" xfId="0"/>
    <xf numFmtId="0" fontId="6" fillId="5" borderId="14" applyAlignment="1" pivotButton="0" quotePrefix="0" xfId="0">
      <alignment horizontal="center" vertical="center"/>
    </xf>
    <xf numFmtId="4" fontId="6" fillId="5" borderId="14" pivotButton="0" quotePrefix="0" xfId="0"/>
    <xf numFmtId="3" fontId="6" fillId="5" borderId="14" pivotButton="0" quotePrefix="0" xfId="0"/>
    <xf numFmtId="165" fontId="6" fillId="5" borderId="14" pivotButton="0" quotePrefix="0" xfId="0"/>
    <xf numFmtId="166" fontId="6" fillId="5" borderId="14" pivotButton="0" quotePrefix="0" xfId="0"/>
    <xf numFmtId="0" fontId="6" fillId="5" borderId="17" pivotButton="0" quotePrefix="0" xfId="0"/>
    <xf numFmtId="166" fontId="7" fillId="0" borderId="18" pivotButton="0" quotePrefix="0" xfId="0"/>
    <xf numFmtId="0" fontId="8" fillId="4" borderId="19" pivotButton="0" quotePrefix="0" xfId="0"/>
    <xf numFmtId="0" fontId="0" fillId="4" borderId="20" pivotButton="0" quotePrefix="0" xfId="0"/>
    <xf numFmtId="3" fontId="8" fillId="4" borderId="20" pivotButton="0" quotePrefix="0" xfId="0"/>
    <xf numFmtId="165" fontId="8" fillId="4" borderId="20" pivotButton="0" quotePrefix="0" xfId="0"/>
    <xf numFmtId="166" fontId="8" fillId="4" borderId="20" pivotButton="0" quotePrefix="0" xfId="0"/>
    <xf numFmtId="166" fontId="8" fillId="4" borderId="21" pivotButton="0" quotePrefix="0" xfId="0"/>
    <xf numFmtId="0" fontId="6" fillId="5" borderId="22" pivotButton="0" quotePrefix="0" xfId="0"/>
    <xf numFmtId="0" fontId="6" fillId="5" borderId="23" applyAlignment="1" pivotButton="0" quotePrefix="0" xfId="0">
      <alignment horizontal="center" vertical="center"/>
    </xf>
    <xf numFmtId="4" fontId="6" fillId="5" borderId="23" pivotButton="0" quotePrefix="0" xfId="0"/>
    <xf numFmtId="166" fontId="6" fillId="5" borderId="23" pivotButton="0" quotePrefix="0" xfId="0"/>
    <xf numFmtId="3" fontId="6" fillId="5" borderId="23" pivotButton="0" quotePrefix="0" xfId="0"/>
    <xf numFmtId="166" fontId="9" fillId="0" borderId="23" pivotButton="0" quotePrefix="0" xfId="0"/>
    <xf numFmtId="165" fontId="6" fillId="0" borderId="23" pivotButton="0" quotePrefix="0" xfId="0"/>
    <xf numFmtId="166" fontId="7" fillId="0" borderId="23" pivotButton="0" quotePrefix="0" xfId="0"/>
    <xf numFmtId="165" fontId="7" fillId="0" borderId="23" pivotButton="0" quotePrefix="0" xfId="0"/>
    <xf numFmtId="166" fontId="7" fillId="0" borderId="24" pivotButton="0" quotePrefix="0" xfId="0"/>
    <xf numFmtId="0" fontId="8" fillId="4" borderId="25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0" fontId="8" fillId="4" borderId="27" applyAlignment="1" pivotButton="0" quotePrefix="0" xfId="0">
      <alignment horizontal="center" vertical="center" wrapText="1"/>
    </xf>
    <xf numFmtId="165" fontId="6" fillId="5" borderId="23" pivotButton="0" quotePrefix="0" xfId="0"/>
    <xf numFmtId="0" fontId="6" fillId="5" borderId="30" pivotButton="0" quotePrefix="0" xfId="0"/>
    <xf numFmtId="0" fontId="8" fillId="4" borderId="31" pivotButton="0" quotePrefix="0" xfId="0"/>
    <xf numFmtId="0" fontId="6" fillId="5" borderId="29" pivotButton="0" quotePrefix="0" xfId="0"/>
    <xf numFmtId="167" fontId="6" fillId="0" borderId="20" pivotButton="0" quotePrefix="0" xfId="0"/>
    <xf numFmtId="167" fontId="6" fillId="0" borderId="14" pivotButton="0" quotePrefix="0" xfId="0"/>
    <xf numFmtId="167" fontId="16" fillId="0" borderId="14" applyAlignment="1" pivotButton="0" quotePrefix="0" xfId="1">
      <alignment horizontal="center" vertical="center" wrapText="1"/>
    </xf>
    <xf numFmtId="0" fontId="8" fillId="4" borderId="28" applyAlignment="1" pivotButton="0" quotePrefix="0" xfId="0">
      <alignment horizontal="center" vertical="center" wrapText="1"/>
    </xf>
    <xf numFmtId="0" fontId="19" fillId="0" borderId="0" pivotButton="0" quotePrefix="0" xfId="0"/>
    <xf numFmtId="0" fontId="22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20" fillId="4" borderId="14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left" vertical="center"/>
    </xf>
    <xf numFmtId="166" fontId="21" fillId="0" borderId="14" applyAlignment="1" pivotButton="0" quotePrefix="0" xfId="0">
      <alignment horizontal="right" vertical="center"/>
    </xf>
    <xf numFmtId="3" fontId="21" fillId="0" borderId="14" applyAlignment="1" pivotButton="0" quotePrefix="0" xfId="0">
      <alignment horizontal="right" vertical="center"/>
    </xf>
    <xf numFmtId="165" fontId="21" fillId="0" borderId="14" applyAlignment="1" pivotButton="0" quotePrefix="0" xfId="0">
      <alignment horizontal="right" vertical="center"/>
    </xf>
    <xf numFmtId="0" fontId="20" fillId="6" borderId="14" pivotButton="0" quotePrefix="0" xfId="0"/>
    <xf numFmtId="0" fontId="0" fillId="6" borderId="14" pivotButton="0" quotePrefix="0" xfId="0"/>
    <xf numFmtId="3" fontId="20" fillId="6" borderId="14" applyAlignment="1" pivotButton="0" quotePrefix="0" xfId="0">
      <alignment horizontal="right" vertical="center"/>
    </xf>
    <xf numFmtId="165" fontId="20" fillId="6" borderId="14" applyAlignment="1" pivotButton="0" quotePrefix="0" xfId="0">
      <alignment horizontal="right" vertical="center"/>
    </xf>
    <xf numFmtId="166" fontId="20" fillId="6" borderId="14" applyAlignment="1" pivotButton="0" quotePrefix="0" xfId="0">
      <alignment horizontal="right" vertical="center"/>
    </xf>
    <xf numFmtId="0" fontId="23" fillId="0" borderId="0" pivotButton="0" quotePrefix="0" xfId="0"/>
    <xf numFmtId="0" fontId="23" fillId="0" borderId="10" pivotButton="0" quotePrefix="0" xfId="0"/>
    <xf numFmtId="0" fontId="24" fillId="0" borderId="12" pivotButton="0" quotePrefix="0" xfId="0"/>
    <xf numFmtId="49" fontId="6" fillId="5" borderId="29" pivotButton="0" quotePrefix="0" xfId="0"/>
    <xf numFmtId="49" fontId="6" fillId="5" borderId="30" pivotButton="0" quotePrefix="0" xfId="0"/>
    <xf numFmtId="166" fontId="25" fillId="0" borderId="23" pivotButton="0" quotePrefix="0" xfId="0"/>
    <xf numFmtId="166" fontId="25" fillId="0" borderId="14" pivotButton="0" quotePrefix="0" xfId="0"/>
    <xf numFmtId="166" fontId="26" fillId="0" borderId="23" pivotButton="0" quotePrefix="0" xfId="0"/>
    <xf numFmtId="166" fontId="26" fillId="0" borderId="14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7" borderId="14" applyAlignment="1" pivotButton="0" quotePrefix="0" xfId="0">
      <alignment horizontal="center" vertical="center"/>
    </xf>
    <xf numFmtId="0" fontId="0" fillId="7" borderId="33" applyAlignment="1" pivotButton="0" quotePrefix="0" xfId="0">
      <alignment horizontal="center" vertical="center"/>
    </xf>
    <xf numFmtId="0" fontId="0" fillId="7" borderId="30" applyAlignment="1" pivotButton="0" quotePrefix="0" xfId="0">
      <alignment horizontal="center" vertical="center"/>
    </xf>
    <xf numFmtId="166" fontId="9" fillId="0" borderId="23" pivotButton="0" quotePrefix="0" xfId="0"/>
    <xf numFmtId="166" fontId="7" fillId="0" borderId="23" pivotButton="0" quotePrefix="0" xfId="0"/>
    <xf numFmtId="165" fontId="6" fillId="5" borderId="23" pivotButton="0" quotePrefix="0" xfId="0"/>
    <xf numFmtId="165" fontId="7" fillId="0" borderId="23" pivotButton="0" quotePrefix="0" xfId="0"/>
    <xf numFmtId="166" fontId="25" fillId="0" borderId="23" pivotButton="0" quotePrefix="0" xfId="0"/>
    <xf numFmtId="166" fontId="7" fillId="0" borderId="24" pivotButton="0" quotePrefix="0" xfId="0"/>
    <xf numFmtId="166" fontId="9" fillId="0" borderId="14" pivotButton="0" quotePrefix="0" xfId="0"/>
    <xf numFmtId="166" fontId="7" fillId="0" borderId="14" pivotButton="0" quotePrefix="0" xfId="0"/>
    <xf numFmtId="165" fontId="6" fillId="5" borderId="14" pivotButton="0" quotePrefix="0" xfId="0"/>
    <xf numFmtId="165" fontId="7" fillId="0" borderId="14" pivotButton="0" quotePrefix="0" xfId="0"/>
    <xf numFmtId="166" fontId="25" fillId="0" borderId="14" pivotButton="0" quotePrefix="0" xfId="0"/>
    <xf numFmtId="166" fontId="7" fillId="0" borderId="18" pivotButton="0" quotePrefix="0" xfId="0"/>
    <xf numFmtId="166" fontId="8" fillId="4" borderId="20" pivotButton="0" quotePrefix="0" xfId="0"/>
    <xf numFmtId="165" fontId="8" fillId="4" borderId="20" pivotButton="0" quotePrefix="0" xfId="0"/>
    <xf numFmtId="166" fontId="8" fillId="4" borderId="21" pivotButton="0" quotePrefix="0" xfId="0"/>
    <xf numFmtId="0" fontId="30" fillId="9" borderId="36" applyAlignment="1" pivotButton="0" quotePrefix="0" xfId="0">
      <alignment horizontal="center" vertical="center" wrapText="1"/>
    </xf>
    <xf numFmtId="166" fontId="6" fillId="5" borderId="23" pivotButton="0" quotePrefix="0" xfId="0"/>
    <xf numFmtId="165" fontId="6" fillId="0" borderId="23" pivotButton="0" quotePrefix="0" xfId="0"/>
    <xf numFmtId="166" fontId="26" fillId="0" borderId="23" pivotButton="0" quotePrefix="0" xfId="0"/>
    <xf numFmtId="165" fontId="28" fillId="0" borderId="36" pivotButton="0" quotePrefix="0" xfId="0"/>
    <xf numFmtId="168" fontId="31" fillId="0" borderId="36" pivotButton="0" quotePrefix="0" xfId="0"/>
    <xf numFmtId="166" fontId="6" fillId="5" borderId="14" pivotButton="0" quotePrefix="0" xfId="0"/>
    <xf numFmtId="165" fontId="6" fillId="0" borderId="14" pivotButton="0" quotePrefix="0" xfId="0"/>
    <xf numFmtId="166" fontId="26" fillId="0" borderId="14" pivotButton="0" quotePrefix="0" xfId="0"/>
    <xf numFmtId="0" fontId="0" fillId="10" borderId="36" pivotButton="0" quotePrefix="0" xfId="0"/>
    <xf numFmtId="0" fontId="29" fillId="0" borderId="0" pivotButton="0" quotePrefix="0" xfId="0"/>
    <xf numFmtId="0" fontId="32" fillId="0" borderId="0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32" pivotButton="0" quotePrefix="0" xfId="0"/>
    <xf numFmtId="0" fontId="27" fillId="0" borderId="36" applyAlignment="1" pivotButton="0" quotePrefix="0" xfId="0">
      <alignment horizontal="left" vertical="center"/>
    </xf>
    <xf numFmtId="168" fontId="27" fillId="0" borderId="36" applyAlignment="1" pivotButton="0" quotePrefix="0" xfId="0">
      <alignment horizontal="right" vertical="center"/>
    </xf>
    <xf numFmtId="3" fontId="27" fillId="0" borderId="36" applyAlignment="1" pivotButton="0" quotePrefix="0" xfId="0">
      <alignment horizontal="right" vertical="center"/>
    </xf>
    <xf numFmtId="165" fontId="27" fillId="0" borderId="36" applyAlignment="1" pivotButton="0" quotePrefix="0" xfId="0">
      <alignment horizontal="right" vertical="center"/>
    </xf>
    <xf numFmtId="0" fontId="30" fillId="10" borderId="36" pivotButton="0" quotePrefix="0" xfId="0"/>
    <xf numFmtId="3" fontId="30" fillId="10" borderId="36" applyAlignment="1" pivotButton="0" quotePrefix="0" xfId="0">
      <alignment horizontal="right" vertical="center"/>
    </xf>
    <xf numFmtId="165" fontId="30" fillId="10" borderId="36" applyAlignment="1" pivotButton="0" quotePrefix="0" xfId="0">
      <alignment horizontal="right" vertical="center"/>
    </xf>
    <xf numFmtId="168" fontId="30" fillId="10" borderId="36" applyAlignment="1" pivotButton="0" quotePrefix="0" xfId="0">
      <alignment horizontal="right" vertical="center"/>
    </xf>
    <xf numFmtId="0" fontId="0" fillId="0" borderId="37" pivotButton="0" quotePrefix="0" xfId="0"/>
    <xf numFmtId="0" fontId="29" fillId="0" borderId="37" pivotButton="0" quotePrefix="0" xfId="0"/>
    <xf numFmtId="0" fontId="32" fillId="0" borderId="37" pivotButton="0" quotePrefix="0" xfId="0"/>
    <xf numFmtId="164" fontId="5" fillId="0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27" fillId="0" borderId="9" pivotButton="0" quotePrefix="0" xfId="0"/>
    <xf numFmtId="165" fontId="28" fillId="8" borderId="36" pivotButton="0" quotePrefix="0" xfId="0"/>
    <xf numFmtId="0" fontId="29" fillId="0" borderId="10" pivotButton="0" quotePrefix="0" xfId="0"/>
    <xf numFmtId="167" fontId="16" fillId="0" borderId="14" applyAlignment="1" pivotButton="0" quotePrefix="0" xfId="1">
      <alignment horizontal="center" vertical="center" wrapText="1"/>
    </xf>
    <xf numFmtId="167" fontId="6" fillId="0" borderId="14" pivotButton="0" quotePrefix="0" xfId="0"/>
    <xf numFmtId="167" fontId="6" fillId="0" borderId="20" pivotButton="0" quotePrefix="0" xfId="0"/>
    <xf numFmtId="0" fontId="33" fillId="0" borderId="0" pivotButton="0" quotePrefix="0" xfId="0"/>
    <xf numFmtId="0" fontId="27" fillId="4" borderId="9" pivotButton="0" quotePrefix="0" xfId="0"/>
    <xf numFmtId="0" fontId="29" fillId="4" borderId="10" pivotButton="0" quotePrefix="0" xfId="0"/>
    <xf numFmtId="0" fontId="34" fillId="0" borderId="9" pivotButton="0" quotePrefix="0" xfId="0"/>
    <xf numFmtId="0" fontId="27" fillId="8" borderId="9" pivotButton="0" quotePrefix="0" xfId="0"/>
    <xf numFmtId="0" fontId="28" fillId="0" borderId="11" pivotButton="0" quotePrefix="0" xfId="0"/>
    <xf numFmtId="0" fontId="29" fillId="0" borderId="12" pivotButton="0" quotePrefix="0" xfId="0"/>
    <xf numFmtId="0" fontId="27" fillId="0" borderId="0" pivotButton="0" quotePrefix="0" xfId="0"/>
    <xf numFmtId="0" fontId="35" fillId="0" borderId="0" pivotButton="0" quotePrefix="0" xfId="0"/>
    <xf numFmtId="0" fontId="28" fillId="0" borderId="36" pivotButton="0" quotePrefix="0" xfId="0"/>
    <xf numFmtId="168" fontId="33" fillId="0" borderId="36" pivotButton="0" quotePrefix="0" xfId="0"/>
    <xf numFmtId="168" fontId="28" fillId="0" borderId="36" pivotButton="0" quotePrefix="0" xfId="0"/>
    <xf numFmtId="3" fontId="28" fillId="0" borderId="36" pivotButton="0" quotePrefix="0" xfId="0"/>
    <xf numFmtId="168" fontId="28" fillId="8" borderId="36" pivotButton="0" quotePrefix="0" xfId="0"/>
    <xf numFmtId="165" fontId="31" fillId="0" borderId="36" pivotButton="0" quotePrefix="0" xfId="0"/>
    <xf numFmtId="3" fontId="30" fillId="10" borderId="36" pivotButton="0" quotePrefix="0" xfId="0"/>
    <xf numFmtId="165" fontId="30" fillId="10" borderId="36" pivotButton="0" quotePrefix="0" xfId="0"/>
    <xf numFmtId="168" fontId="30" fillId="10" borderId="36" pivotButton="0" quotePrefix="0" xfId="0"/>
    <xf numFmtId="0" fontId="27" fillId="0" borderId="11" pivotButton="0" quotePrefix="0" xfId="0"/>
    <xf numFmtId="0" fontId="29" fillId="0" borderId="13" pivotButton="0" quotePrefix="0" xfId="0"/>
    <xf numFmtId="0" fontId="34" fillId="0" borderId="0" pivotButton="0" quotePrefix="0" xfId="0"/>
    <xf numFmtId="0" fontId="27" fillId="8" borderId="0" pivotButton="0" quotePrefix="0" xfId="0"/>
    <xf numFmtId="0" fontId="28" fillId="0" borderId="0" pivotButton="0" quotePrefix="0" xfId="0"/>
  </cellXfs>
  <cellStyles count="3">
    <cellStyle name="표준" xfId="0" builtinId="0"/>
    <cellStyle name="표준 2" xfId="1"/>
    <cellStyle name="메모 2" xfId="2"/>
  </cellStyles>
  <dxfs count="5">
    <dxf>
      <font>
        <name val="맑은 고딕"/>
        <b val="1"/>
        <color rgb="FF9C0006"/>
        <sz val="10"/>
      </font>
      <fill>
        <patternFill patternType="solid">
          <fgColor rgb="FFFFC7CE"/>
        </patternFill>
      </fill>
    </dxf>
    <dxf>
      <font>
        <name val="맑은 고딕"/>
        <color rgb="FFC55A11"/>
        <sz val="10"/>
      </font>
    </dxf>
    <dxf>
      <font>
        <name val="맑은 고딕"/>
        <b val="1"/>
        <color rgb="FF9C0006"/>
        <sz val="10"/>
      </font>
      <fill>
        <patternFill patternType="solid">
          <fgColor rgb="FFFFC7CE"/>
        </patternFill>
      </fill>
    </dxf>
    <dxf>
      <font>
        <name val="맑은 고딕"/>
        <b val="1"/>
        <color rgb="009C0006"/>
        <sz val="10"/>
      </font>
      <fill>
        <patternFill patternType="solid">
          <fgColor rgb="00FFC7CE"/>
        </patternFill>
      </fill>
    </dxf>
    <dxf>
      <font>
        <name val="맑은 고딕"/>
        <color rgb="00C55A11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 xml:space="preserve">USD / </a:t>
            </a:r>
            <a:r>
              <a:rPr lang="ko-KR" altLang="en-US"/>
              <a:t>원 월평균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월평균환율!$C$5</f>
              <strCache>
                <ptCount val="1"/>
                <pt idx="0">
                  <v>USD / 원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월평균환율!$B$6:$B$17</f>
              <strCache>
                <ptCount val="12"/>
                <pt idx="0">
                  <v>2025-09</v>
                </pt>
                <pt idx="1">
                  <v>2025-10</v>
                </pt>
                <pt idx="2">
                  <v>2025-11</v>
                </pt>
                <pt idx="3">
                  <v>2025-12</v>
                </pt>
                <pt idx="4">
                  <v>2026-01</v>
                </pt>
                <pt idx="5">
                  <v>2026-02</v>
                </pt>
                <pt idx="6">
                  <v>2026-03</v>
                </pt>
                <pt idx="7">
                  <v>2026-04</v>
                </pt>
                <pt idx="8">
                  <v>2026-05</v>
                </pt>
                <pt idx="9">
                  <v>2026-06</v>
                </pt>
                <pt idx="10">
                  <v>2026-07</v>
                </pt>
                <pt idx="11">
                  <v>2026-08</v>
                </pt>
              </strCache>
            </strRef>
          </cat>
          <val>
            <numRef>
              <f>월평균환율!$C$6:$C$17</f>
              <numCache>
                <formatCode>0.00_);[Red]\(0.00\)</formatCode>
                <ptCount val="12"/>
                <pt idx="0">
                  <v>1391.83</v>
                </pt>
                <pt idx="1">
                  <v>1423.36</v>
                </pt>
                <pt idx="2">
                  <v>1457.77</v>
                </pt>
                <pt idx="3">
                  <v>1467.4</v>
                </pt>
                <pt idx="4">
                  <v>1456.51</v>
                </pt>
                <pt idx="5">
                  <v>1449.32</v>
                </pt>
                <pt idx="6">
                  <v>1486.64</v>
                </pt>
                <pt idx="7">
                  <v>1487.39</v>
                </pt>
                <pt idx="8">
                  <v>1490.11</v>
                </pt>
                <pt idx="9">
                  <v>1527.3</v>
                </pt>
                <pt idx="10">
                  <v>1497.43</v>
                </pt>
                <pt idx="11">
                  <v>1406.3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0.00_);[Red]\(0.00\)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 xml:space="preserve">CNY / </a:t>
            </a:r>
            <a:r>
              <a:rPr lang="ko-KR" altLang="en-US"/>
              <a:t>원 월평균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월평균환율!$D$5</f>
              <strCache>
                <ptCount val="1"/>
                <pt idx="0">
                  <v>CNY / 원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월평균환율!$B$6:$B$17</f>
              <strCache>
                <ptCount val="12"/>
                <pt idx="0">
                  <v>2025-09</v>
                </pt>
                <pt idx="1">
                  <v>2025-10</v>
                </pt>
                <pt idx="2">
                  <v>2025-11</v>
                </pt>
                <pt idx="3">
                  <v>2025-12</v>
                </pt>
                <pt idx="4">
                  <v>2026-01</v>
                </pt>
                <pt idx="5">
                  <v>2026-02</v>
                </pt>
                <pt idx="6">
                  <v>2026-03</v>
                </pt>
                <pt idx="7">
                  <v>2026-04</v>
                </pt>
                <pt idx="8">
                  <v>2026-05</v>
                </pt>
                <pt idx="9">
                  <v>2026-06</v>
                </pt>
                <pt idx="10">
                  <v>2026-07</v>
                </pt>
                <pt idx="11">
                  <v>2026-08</v>
                </pt>
              </strCache>
            </strRef>
          </cat>
          <val>
            <numRef>
              <f>월평균환율!$D$6:$D$17</f>
              <numCache>
                <formatCode>0.00_);[Red]\(0.00\)</formatCode>
                <ptCount val="12"/>
                <pt idx="0">
                  <v>195.36</v>
                </pt>
                <pt idx="1">
                  <v>199.82</v>
                </pt>
                <pt idx="2">
                  <v>205.04</v>
                </pt>
                <pt idx="3">
                  <v>208.26</v>
                </pt>
                <pt idx="4">
                  <v>209.08</v>
                </pt>
                <pt idx="5">
                  <v>209.73</v>
                </pt>
                <pt idx="6">
                  <v>215.65</v>
                </pt>
                <pt idx="7">
                  <v>217.41</v>
                </pt>
                <pt idx="8">
                  <v>219.11</v>
                </pt>
                <pt idx="9">
                  <v>225.51</v>
                </pt>
                <pt idx="10">
                  <v>220.94</v>
                </pt>
                <pt idx="11">
                  <v>208.69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0.00_);[Red]\(0.00\)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안내</author>
  </authors>
  <commentList>
    <comment ref="C19" authorId="0" shapeId="0">
      <text>
        <t>원가 가산 30%: 입고원가 10,000원 → 판매가 13,000원 (판매가 대비 마진 23.1%)
판매가 마진 30%: 입고원가 10,000원 → 판매가 14,286원 (원가 대비 42.9%)
사내에서 쓰는 정의로 고정하세요.</t>
      </text>
    </comment>
    <comment ref="C26" authorId="0" shapeId="0">
      <text>
        <t>매출 대비: 판관비와 영업이익을 모두 '매출의 몇 %'로 봅니다.
  BEP가   = 매입원가 ÷ (1 − 판관비율)
  기준유통가 = 매입원가 ÷ (1 − 판관비율 − 영업이익률)
  이 방식에서만 BEP가 정확히 영업이익 0원이 되는 지점입니다.
원가 가산: 매입원가에 순서대로 곱합니다.
  BEP가   = 매입원가 × (1 + 판관비율)
  기준유통가 = BEP가 × (1 + 영업이익률)</t>
      </text>
    </comment>
    <comment ref="C28" authorId="0" shapeId="0">
      <text>
        <t>위의 '상품가 계산 방식'을 그대로 따릅니다.
  매출 대비 : 소비자가 = 최종 유통가 ÷ (1 − 소비자 마진율)
  원가 가산 : 소비자가 = 최종 유통가 × (1 + 소비자 마진율)
절상 단위도 기준유통가와 같은 값(C27)을 씁니다.</t>
      </text>
    </comment>
    <comment ref="C29" authorId="0" shapeId="0">
      <text>
        <t>부대비용률은 세 가지로 갈립니다.
  수입 + USD/CNY : C17 (수입 부대비용률)
  수입 + KRW     : C29 (에이전트 부대비용률) ← 이 칸
  국내           : C23 (국내 부대비용률)
에이전트가 통관·운임까지 포함해 원화로 청구하면 여기서 다시
얹을 것이 없으므로 0%가 맞습니다.</t>
      </text>
    </comment>
    <comment ref="C32" authorId="0" shapeId="0">
      <text>
        <t>태성 재판매가산출 시트에만 쓰입니다.
태성 입고가(= 플로우텍 판매단가)가 곧 원가이므로
추가 비용이 없으면 0%로 두세요.
계산 방식(C26) · 절상 단위(C27) · 소비자 마진율(C28)은
상품 판매가와 같은 값을 씁니다.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529590</colOff>
      <row>4</row>
      <rowOff>104775</rowOff>
    </from>
    <ext cx="5271135" cy="2581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529590</colOff>
      <row>16</row>
      <rowOff>133350</rowOff>
    </from>
    <ext cx="5271135" cy="2581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2:O30"/>
  <sheetViews>
    <sheetView showGridLines="0" zoomScale="115" zoomScaleNormal="115" workbookViewId="0">
      <selection activeCell="K6" sqref="K6"/>
    </sheetView>
  </sheetViews>
  <sheetFormatPr baseColWidth="8" defaultRowHeight="17.4"/>
  <cols>
    <col width="3.69921875" customWidth="1" min="1" max="1"/>
    <col width="23.5" customWidth="1" min="2" max="2"/>
    <col width="12.59765625" customWidth="1" min="3" max="3"/>
    <col width="4.796875" bestFit="1" customWidth="1" min="4" max="4"/>
    <col width="8.796875" bestFit="1" customWidth="1" min="5" max="5"/>
    <col width="5.3984375" bestFit="1" customWidth="1" min="6" max="6"/>
    <col width="13" customWidth="1" min="7" max="7"/>
    <col width="12" customWidth="1" min="8" max="8"/>
    <col width="9" customWidth="1" min="9" max="9"/>
    <col width="12.796875" customWidth="1" min="10" max="10"/>
    <col width="11.5" customWidth="1" min="11" max="11"/>
    <col width="12" customWidth="1" min="12" max="12"/>
    <col width="9" customWidth="1" min="13" max="13"/>
    <col width="15" customWidth="1" min="14" max="15"/>
  </cols>
  <sheetData>
    <row r="1" ht="15" customHeight="1"/>
    <row r="2" ht="21" customHeight="1">
      <c r="B2" s="1" t="inlineStr">
        <is>
          <t>자재 판매가 산출 — 태성정밀 공급</t>
        </is>
      </c>
      <c r="C2" s="1" t="n"/>
    </row>
    <row r="3">
      <c r="B3" s="5">
        <f>" 적용 환율: "&amp;설정!$C$8&amp;"  ·  USD "&amp;TEXT(설정!$C$11,"#,##0.00")&amp;"  ·  CNY "&amp;TEXT(설정!$C$12,"#,##0.00")&amp;"  ·  부대비용 "&amp;TEXT(설정!$C$17,"0.0%")&amp;"  ·  "&amp;설정!$C$19&amp;" "&amp;TEXT(설정!$C$18,"0.0%")</f>
        <v/>
      </c>
      <c r="C3" s="5" t="n"/>
    </row>
    <row r="4" ht="18" customHeight="1" thickBot="1"/>
    <row r="5" ht="34.95" customHeight="1" thickBot="1">
      <c r="B5" s="71" t="inlineStr">
        <is>
          <t>품목</t>
        </is>
      </c>
      <c r="C5" s="81" t="inlineStr">
        <is>
          <t>품목코드</t>
        </is>
      </c>
      <c r="D5" s="72" t="inlineStr">
        <is>
          <t>통화</t>
        </is>
      </c>
      <c r="E5" s="72" t="inlineStr">
        <is>
          <t>외화 단가</t>
        </is>
      </c>
      <c r="F5" s="72" t="inlineStr">
        <is>
          <t>수량</t>
        </is>
      </c>
      <c r="G5" s="72" t="inlineStr">
        <is>
          <t>원화 환산</t>
        </is>
      </c>
      <c r="H5" s="72" t="inlineStr">
        <is>
          <t>입고원가</t>
        </is>
      </c>
      <c r="I5" s="72" t="inlineStr">
        <is>
          <t>이윤율</t>
        </is>
      </c>
      <c r="J5" s="72" t="inlineStr">
        <is>
          <t>적용 이윤율</t>
        </is>
      </c>
      <c r="K5" s="72" t="inlineStr">
        <is>
          <t>판매단가</t>
        </is>
      </c>
      <c r="L5" s="72" t="inlineStr">
        <is>
          <t>개당 마진</t>
        </is>
      </c>
      <c r="M5" s="72" t="inlineStr">
        <is>
          <t>마진율</t>
        </is>
      </c>
      <c r="N5" s="72" t="inlineStr">
        <is>
          <t>판매 합계</t>
        </is>
      </c>
      <c r="O5" s="73" t="inlineStr">
        <is>
          <t>원가 합계</t>
        </is>
      </c>
    </row>
    <row r="6" ht="18" customHeight="1" thickTop="1">
      <c r="B6" s="61" t="n"/>
      <c r="C6" s="99" t="inlineStr">
        <is>
          <t>710232.0</t>
        </is>
      </c>
      <c r="D6" s="62" t="inlineStr">
        <is>
          <t>USD</t>
        </is>
      </c>
      <c r="E6" s="63" t="n">
        <v>8.5</v>
      </c>
      <c r="F6" s="65" t="n">
        <v>300</v>
      </c>
      <c r="G6" s="113">
        <f>IF(N($E6)=0,"",$E6*IF($D6="USD",설정!$C$11,IF($D6="CNY",설정!$C$12,1)))</f>
        <v/>
      </c>
      <c r="H6" s="114">
        <f>IF($G6="","",$G6*(1+설정!$C$17))</f>
        <v/>
      </c>
      <c r="I6" s="115" t="n"/>
      <c r="J6" s="116">
        <f>IF($G6="","",IF($I6="",설정!$C$18,$I6))</f>
        <v/>
      </c>
      <c r="K6" s="117">
        <f>IF($H6="","",IFERROR(IF(설정!$C$20&lt;=1,ROUND(IF(설정!$C$19="판매가 마진",$H6/(1-$J6),$H6*(1+$J6)),0),CEILING(IF(설정!$C$19="판매가 마진",$H6/(1-$J6),$H6*(1+$J6)),설정!$C$20)),0))</f>
        <v/>
      </c>
      <c r="L6" s="114">
        <f>IF($K6="","",$K6-$H6)</f>
        <v/>
      </c>
      <c r="M6" s="116">
        <f>IF(N($K6)=0,"",$L6/$K6)</f>
        <v/>
      </c>
      <c r="N6" s="114">
        <f>IF($K6="","",$K6*$F6)</f>
        <v/>
      </c>
      <c r="O6" s="118">
        <f>IF($H6="","",$H6*$F6)</f>
        <v/>
      </c>
    </row>
    <row r="7">
      <c r="B7" s="53" t="n"/>
      <c r="C7" s="100" t="inlineStr">
        <is>
          <t>710232.BN</t>
        </is>
      </c>
      <c r="D7" s="48" t="inlineStr">
        <is>
          <t>USD</t>
        </is>
      </c>
      <c r="E7" s="49" t="n">
        <v>9.300000000000001</v>
      </c>
      <c r="F7" s="50" t="n">
        <v>314</v>
      </c>
      <c r="G7" s="119">
        <f>IF(N($E7)=0,"",$E7*IF($D7="USD",설정!$C$11,IF($D7="CNY",설정!$C$12,1)))</f>
        <v/>
      </c>
      <c r="H7" s="120">
        <f>IF($G7="","",$G7*(1+설정!$C$17))</f>
        <v/>
      </c>
      <c r="I7" s="121" t="n"/>
      <c r="J7" s="122">
        <f>IF($G7="","",IF($I7="",설정!$C$18,$I7))</f>
        <v/>
      </c>
      <c r="K7" s="123">
        <f>IF($H7="","",IFERROR(IF(설정!$C$20&lt;=1,ROUND(IF(설정!$C$19="판매가 마진",$H7/(1-$J7),$H7*(1+$J7)),0),CEILING(IF(설정!$C$19="판매가 마진",$H7/(1-$J7),$H7*(1+$J7)),설정!$C$20)),0))</f>
        <v/>
      </c>
      <c r="L7" s="120">
        <f>IF($K7="","",$K7-$H7)</f>
        <v/>
      </c>
      <c r="M7" s="122">
        <f>IF(N($K7)=0,"",$L7/$K7)</f>
        <v/>
      </c>
      <c r="N7" s="120">
        <f>IF($K7="","",$K7*$F7)</f>
        <v/>
      </c>
      <c r="O7" s="124">
        <f>IF($H7="","",$H7*$F7)</f>
        <v/>
      </c>
    </row>
    <row r="8">
      <c r="B8" s="53" t="n"/>
      <c r="C8" s="100" t="n"/>
      <c r="D8" s="48" t="n"/>
      <c r="E8" s="49" t="n"/>
      <c r="F8" s="50" t="n"/>
      <c r="G8" s="119">
        <f>IF(N($E8)=0,"",$E8*IF($D8="USD",설정!$C$11,IF($D8="CNY",설정!$C$12,1)))</f>
        <v/>
      </c>
      <c r="H8" s="120">
        <f>IF($G8="","",$G8*(1+설정!$C$17))</f>
        <v/>
      </c>
      <c r="I8" s="121" t="n"/>
      <c r="J8" s="122">
        <f>IF($G8="","",IF($I8="",설정!$C$18,$I8))</f>
        <v/>
      </c>
      <c r="K8" s="123">
        <f>IF($H8="","",IFERROR(IF(설정!$C$20&lt;=1,ROUND(IF(설정!$C$19="판매가 마진",$H8/(1-$J8),$H8*(1+$J8)),0),CEILING(IF(설정!$C$19="판매가 마진",$H8/(1-$J8),$H8*(1+$J8)),설정!$C$20)),0))</f>
        <v/>
      </c>
      <c r="L8" s="120">
        <f>IF($K8="","",$K8-$H8)</f>
        <v/>
      </c>
      <c r="M8" s="122">
        <f>IF(N($K8)=0,"",$L8/$K8)</f>
        <v/>
      </c>
      <c r="N8" s="120">
        <f>IF($K8="","",$K8*$F8)</f>
        <v/>
      </c>
      <c r="O8" s="124">
        <f>IF($H8="","",$H8*$F8)</f>
        <v/>
      </c>
    </row>
    <row r="9">
      <c r="B9" s="53" t="n"/>
      <c r="C9" s="100" t="n"/>
      <c r="D9" s="48" t="n"/>
      <c r="E9" s="49" t="n"/>
      <c r="F9" s="50" t="n"/>
      <c r="G9" s="119">
        <f>IF(N($E9)=0,"",$E9*IF($D9="USD",설정!$C$11,IF($D9="CNY",설정!$C$12,1)))</f>
        <v/>
      </c>
      <c r="H9" s="120">
        <f>IF($G9="","",$G9*(1+설정!$C$17))</f>
        <v/>
      </c>
      <c r="I9" s="121" t="n"/>
      <c r="J9" s="122">
        <f>IF($G9="","",IF($I9="",설정!$C$18,$I9))</f>
        <v/>
      </c>
      <c r="K9" s="123">
        <f>IF($H9="","",IFERROR(IF(설정!$C$20&lt;=1,ROUND(IF(설정!$C$19="판매가 마진",$H9/(1-$J9),$H9*(1+$J9)),0),CEILING(IF(설정!$C$19="판매가 마진",$H9/(1-$J9),$H9*(1+$J9)),설정!$C$20)),0))</f>
        <v/>
      </c>
      <c r="L9" s="120">
        <f>IF($K9="","",$K9-$H9)</f>
        <v/>
      </c>
      <c r="M9" s="122">
        <f>IF(N($K9)=0,"",$L9/$K9)</f>
        <v/>
      </c>
      <c r="N9" s="120">
        <f>IF($K9="","",$K9*$F9)</f>
        <v/>
      </c>
      <c r="O9" s="124">
        <f>IF($H9="","",$H9*$F9)</f>
        <v/>
      </c>
    </row>
    <row r="10">
      <c r="B10" s="53" t="n"/>
      <c r="C10" s="100" t="n"/>
      <c r="D10" s="48" t="n"/>
      <c r="E10" s="49" t="n"/>
      <c r="F10" s="50" t="n"/>
      <c r="G10" s="119">
        <f>IF(N($E10)=0,"",$E10*IF($D10="USD",설정!$C$11,IF($D10="CNY",설정!$C$12,1)))</f>
        <v/>
      </c>
      <c r="H10" s="120">
        <f>IF($G10="","",$G10*(1+설정!$C$17))</f>
        <v/>
      </c>
      <c r="I10" s="121" t="n"/>
      <c r="J10" s="122">
        <f>IF($G10="","",IF($I10="",설정!$C$18,$I10))</f>
        <v/>
      </c>
      <c r="K10" s="123">
        <f>IF($H10="","",IFERROR(IF(설정!$C$20&lt;=1,ROUND(IF(설정!$C$19="판매가 마진",$H10/(1-$J10),$H10*(1+$J10)),0),CEILING(IF(설정!$C$19="판매가 마진",$H10/(1-$J10),$H10*(1+$J10)),설정!$C$20)),0))</f>
        <v/>
      </c>
      <c r="L10" s="120">
        <f>IF($K10="","",$K10-$H10)</f>
        <v/>
      </c>
      <c r="M10" s="122">
        <f>IF(N($K10)=0,"",$L10/$K10)</f>
        <v/>
      </c>
      <c r="N10" s="120">
        <f>IF($K10="","",$K10*$F10)</f>
        <v/>
      </c>
      <c r="O10" s="124">
        <f>IF($H10="","",$H10*$F10)</f>
        <v/>
      </c>
    </row>
    <row r="11">
      <c r="B11" s="53" t="n"/>
      <c r="C11" s="100" t="n"/>
      <c r="D11" s="48" t="n"/>
      <c r="E11" s="49" t="n"/>
      <c r="F11" s="50" t="n"/>
      <c r="G11" s="119">
        <f>IF(N($E11)=0,"",$E11*IF($D11="USD",설정!$C$11,IF($D11="CNY",설정!$C$12,1)))</f>
        <v/>
      </c>
      <c r="H11" s="120">
        <f>IF($G11="","",$G11*(1+설정!$C$17))</f>
        <v/>
      </c>
      <c r="I11" s="121" t="n"/>
      <c r="J11" s="122">
        <f>IF($G11="","",IF($I11="",설정!$C$18,$I11))</f>
        <v/>
      </c>
      <c r="K11" s="123">
        <f>IF($H11="","",IFERROR(IF(설정!$C$20&lt;=1,ROUND(IF(설정!$C$19="판매가 마진",$H11/(1-$J11),$H11*(1+$J11)),0),CEILING(IF(설정!$C$19="판매가 마진",$H11/(1-$J11),$H11*(1+$J11)),설정!$C$20)),0))</f>
        <v/>
      </c>
      <c r="L11" s="120">
        <f>IF($K11="","",$K11-$H11)</f>
        <v/>
      </c>
      <c r="M11" s="122">
        <f>IF(N($K11)=0,"",$L11/$K11)</f>
        <v/>
      </c>
      <c r="N11" s="120">
        <f>IF($K11="","",$K11*$F11)</f>
        <v/>
      </c>
      <c r="O11" s="124">
        <f>IF($H11="","",$H11*$F11)</f>
        <v/>
      </c>
    </row>
    <row r="12">
      <c r="B12" s="53" t="n"/>
      <c r="C12" s="100" t="n"/>
      <c r="D12" s="48" t="n"/>
      <c r="E12" s="49" t="n"/>
      <c r="F12" s="50" t="n"/>
      <c r="G12" s="119">
        <f>IF(N($E12)=0,"",$E12*IF($D12="USD",설정!$C$11,IF($D12="CNY",설정!$C$12,1)))</f>
        <v/>
      </c>
      <c r="H12" s="120">
        <f>IF($G12="","",$G12*(1+설정!$C$17))</f>
        <v/>
      </c>
      <c r="I12" s="121" t="n"/>
      <c r="J12" s="122">
        <f>IF($G12="","",IF($I12="",설정!$C$18,$I12))</f>
        <v/>
      </c>
      <c r="K12" s="123">
        <f>IF($H12="","",IFERROR(IF(설정!$C$20&lt;=1,ROUND(IF(설정!$C$19="판매가 마진",$H12/(1-$J12),$H12*(1+$J12)),0),CEILING(IF(설정!$C$19="판매가 마진",$H12/(1-$J12),$H12*(1+$J12)),설정!$C$20)),0))</f>
        <v/>
      </c>
      <c r="L12" s="120">
        <f>IF($K12="","",$K12-$H12)</f>
        <v/>
      </c>
      <c r="M12" s="122">
        <f>IF(N($K12)=0,"",$L12/$K12)</f>
        <v/>
      </c>
      <c r="N12" s="120">
        <f>IF($K12="","",$K12*$F12)</f>
        <v/>
      </c>
      <c r="O12" s="124">
        <f>IF($H12="","",$H12*$F12)</f>
        <v/>
      </c>
    </row>
    <row r="13">
      <c r="B13" s="53" t="n"/>
      <c r="C13" s="100" t="n"/>
      <c r="D13" s="48" t="n"/>
      <c r="E13" s="49" t="n"/>
      <c r="F13" s="50" t="n"/>
      <c r="G13" s="119">
        <f>IF(N($E13)=0,"",$E13*IF($D13="USD",설정!$C$11,IF($D13="CNY",설정!$C$12,1)))</f>
        <v/>
      </c>
      <c r="H13" s="120">
        <f>IF($G13="","",$G13*(1+설정!$C$17))</f>
        <v/>
      </c>
      <c r="I13" s="121" t="n"/>
      <c r="J13" s="122">
        <f>IF($G13="","",IF($I13="",설정!$C$18,$I13))</f>
        <v/>
      </c>
      <c r="K13" s="123">
        <f>IF($H13="","",IFERROR(IF(설정!$C$20&lt;=1,ROUND(IF(설정!$C$19="판매가 마진",$H13/(1-$J13),$H13*(1+$J13)),0),CEILING(IF(설정!$C$19="판매가 마진",$H13/(1-$J13),$H13*(1+$J13)),설정!$C$20)),0))</f>
        <v/>
      </c>
      <c r="L13" s="120">
        <f>IF($K13="","",$K13-$H13)</f>
        <v/>
      </c>
      <c r="M13" s="122">
        <f>IF(N($K13)=0,"",$L13/$K13)</f>
        <v/>
      </c>
      <c r="N13" s="120">
        <f>IF($K13="","",$K13*$F13)</f>
        <v/>
      </c>
      <c r="O13" s="124">
        <f>IF($H13="","",$H13*$F13)</f>
        <v/>
      </c>
    </row>
    <row r="14">
      <c r="B14" s="53" t="n"/>
      <c r="C14" s="100" t="n"/>
      <c r="D14" s="48" t="n"/>
      <c r="E14" s="49" t="n"/>
      <c r="F14" s="50" t="n"/>
      <c r="G14" s="119">
        <f>IF(N($E14)=0,"",$E14*IF($D14="USD",설정!$C$11,IF($D14="CNY",설정!$C$12,1)))</f>
        <v/>
      </c>
      <c r="H14" s="120">
        <f>IF($G14="","",$G14*(1+설정!$C$17))</f>
        <v/>
      </c>
      <c r="I14" s="121" t="n"/>
      <c r="J14" s="122">
        <f>IF($G14="","",IF($I14="",설정!$C$18,$I14))</f>
        <v/>
      </c>
      <c r="K14" s="123">
        <f>IF($H14="","",IFERROR(IF(설정!$C$20&lt;=1,ROUND(IF(설정!$C$19="판매가 마진",$H14/(1-$J14),$H14*(1+$J14)),0),CEILING(IF(설정!$C$19="판매가 마진",$H14/(1-$J14),$H14*(1+$J14)),설정!$C$20)),0))</f>
        <v/>
      </c>
      <c r="L14" s="120">
        <f>IF($K14="","",$K14-$H14)</f>
        <v/>
      </c>
      <c r="M14" s="122">
        <f>IF(N($K14)=0,"",$L14/$K14)</f>
        <v/>
      </c>
      <c r="N14" s="120">
        <f>IF($K14="","",$K14*$F14)</f>
        <v/>
      </c>
      <c r="O14" s="124">
        <f>IF($H14="","",$H14*$F14)</f>
        <v/>
      </c>
    </row>
    <row r="15">
      <c r="B15" s="53" t="n"/>
      <c r="C15" s="100" t="n"/>
      <c r="D15" s="48" t="n"/>
      <c r="E15" s="49" t="n"/>
      <c r="F15" s="50" t="n"/>
      <c r="G15" s="119">
        <f>IF(N($E15)=0,"",$E15*IF($D15="USD",설정!$C$11,IF($D15="CNY",설정!$C$12,1)))</f>
        <v/>
      </c>
      <c r="H15" s="120">
        <f>IF($G15="","",$G15*(1+설정!$C$17))</f>
        <v/>
      </c>
      <c r="I15" s="121" t="n"/>
      <c r="J15" s="122">
        <f>IF($G15="","",IF($I15="",설정!$C$18,$I15))</f>
        <v/>
      </c>
      <c r="K15" s="123">
        <f>IF($H15="","",IFERROR(IF(설정!$C$20&lt;=1,ROUND(IF(설정!$C$19="판매가 마진",$H15/(1-$J15),$H15*(1+$J15)),0),CEILING(IF(설정!$C$19="판매가 마진",$H15/(1-$J15),$H15*(1+$J15)),설정!$C$20)),0))</f>
        <v/>
      </c>
      <c r="L15" s="120">
        <f>IF($K15="","",$K15-$H15)</f>
        <v/>
      </c>
      <c r="M15" s="122">
        <f>IF(N($K15)=0,"",$L15/$K15)</f>
        <v/>
      </c>
      <c r="N15" s="120">
        <f>IF($K15="","",$K15*$F15)</f>
        <v/>
      </c>
      <c r="O15" s="124">
        <f>IF($H15="","",$H15*$F15)</f>
        <v/>
      </c>
    </row>
    <row r="16">
      <c r="B16" s="53" t="n"/>
      <c r="C16" s="100" t="n"/>
      <c r="D16" s="48" t="n"/>
      <c r="E16" s="49" t="n"/>
      <c r="F16" s="50" t="n"/>
      <c r="G16" s="119">
        <f>IF(N($E16)=0,"",$E16*IF($D16="USD",설정!$C$11,IF($D16="CNY",설정!$C$12,1)))</f>
        <v/>
      </c>
      <c r="H16" s="120">
        <f>IF($G16="","",$G16*(1+설정!$C$17))</f>
        <v/>
      </c>
      <c r="I16" s="121" t="n"/>
      <c r="J16" s="122">
        <f>IF($G16="","",IF($I16="",설정!$C$18,$I16))</f>
        <v/>
      </c>
      <c r="K16" s="123">
        <f>IF($H16="","",IFERROR(IF(설정!$C$20&lt;=1,ROUND(IF(설정!$C$19="판매가 마진",$H16/(1-$J16),$H16*(1+$J16)),0),CEILING(IF(설정!$C$19="판매가 마진",$H16/(1-$J16),$H16*(1+$J16)),설정!$C$20)),0))</f>
        <v/>
      </c>
      <c r="L16" s="120">
        <f>IF($K16="","",$K16-$H16)</f>
        <v/>
      </c>
      <c r="M16" s="122">
        <f>IF(N($K16)=0,"",$L16/$K16)</f>
        <v/>
      </c>
      <c r="N16" s="120">
        <f>IF($K16="","",$K16*$F16)</f>
        <v/>
      </c>
      <c r="O16" s="124">
        <f>IF($H16="","",$H16*$F16)</f>
        <v/>
      </c>
    </row>
    <row r="17">
      <c r="B17" s="53" t="n"/>
      <c r="C17" s="100" t="n"/>
      <c r="D17" s="48" t="n"/>
      <c r="E17" s="49" t="n"/>
      <c r="F17" s="50" t="n"/>
      <c r="G17" s="119">
        <f>IF(N($E17)=0,"",$E17*IF($D17="USD",설정!$C$11,IF($D17="CNY",설정!$C$12,1)))</f>
        <v/>
      </c>
      <c r="H17" s="120">
        <f>IF($G17="","",$G17*(1+설정!$C$17))</f>
        <v/>
      </c>
      <c r="I17" s="121" t="n"/>
      <c r="J17" s="122">
        <f>IF($G17="","",IF($I17="",설정!$C$18,$I17))</f>
        <v/>
      </c>
      <c r="K17" s="123">
        <f>IF($H17="","",IFERROR(IF(설정!$C$20&lt;=1,ROUND(IF(설정!$C$19="판매가 마진",$H17/(1-$J17),$H17*(1+$J17)),0),CEILING(IF(설정!$C$19="판매가 마진",$H17/(1-$J17),$H17*(1+$J17)),설정!$C$20)),0))</f>
        <v/>
      </c>
      <c r="L17" s="120">
        <f>IF($K17="","",$K17-$H17)</f>
        <v/>
      </c>
      <c r="M17" s="122">
        <f>IF(N($K17)=0,"",$L17/$K17)</f>
        <v/>
      </c>
      <c r="N17" s="120">
        <f>IF($K17="","",$K17*$F17)</f>
        <v/>
      </c>
      <c r="O17" s="124">
        <f>IF($H17="","",$H17*$F17)</f>
        <v/>
      </c>
    </row>
    <row r="18">
      <c r="B18" s="53" t="n"/>
      <c r="C18" s="100" t="n"/>
      <c r="D18" s="48" t="n"/>
      <c r="E18" s="49" t="n"/>
      <c r="F18" s="50" t="n"/>
      <c r="G18" s="119">
        <f>IF(N($E18)=0,"",$E18*IF($D18="USD",설정!$C$11,IF($D18="CNY",설정!$C$12,1)))</f>
        <v/>
      </c>
      <c r="H18" s="120">
        <f>IF($G18="","",$G18*(1+설정!$C$17))</f>
        <v/>
      </c>
      <c r="I18" s="121" t="n"/>
      <c r="J18" s="122">
        <f>IF($G18="","",IF($I18="",설정!$C$18,$I18))</f>
        <v/>
      </c>
      <c r="K18" s="123">
        <f>IF($H18="","",IFERROR(IF(설정!$C$20&lt;=1,ROUND(IF(설정!$C$19="판매가 마진",$H18/(1-$J18),$H18*(1+$J18)),0),CEILING(IF(설정!$C$19="판매가 마진",$H18/(1-$J18),$H18*(1+$J18)),설정!$C$20)),0))</f>
        <v/>
      </c>
      <c r="L18" s="120">
        <f>IF($K18="","",$K18-$H18)</f>
        <v/>
      </c>
      <c r="M18" s="122">
        <f>IF(N($K18)=0,"",$L18/$K18)</f>
        <v/>
      </c>
      <c r="N18" s="120">
        <f>IF($K18="","",$K18*$F18)</f>
        <v/>
      </c>
      <c r="O18" s="124">
        <f>IF($H18="","",$H18*$F18)</f>
        <v/>
      </c>
    </row>
    <row r="19">
      <c r="B19" s="53" t="n"/>
      <c r="C19" s="100" t="n"/>
      <c r="D19" s="48" t="n"/>
      <c r="E19" s="49" t="n"/>
      <c r="F19" s="50" t="n"/>
      <c r="G19" s="119">
        <f>IF(N($E19)=0,"",$E19*IF($D19="USD",설정!$C$11,IF($D19="CNY",설정!$C$12,1)))</f>
        <v/>
      </c>
      <c r="H19" s="120">
        <f>IF($G19="","",$G19*(1+설정!$C$17))</f>
        <v/>
      </c>
      <c r="I19" s="121" t="n"/>
      <c r="J19" s="122">
        <f>IF($G19="","",IF($I19="",설정!$C$18,$I19))</f>
        <v/>
      </c>
      <c r="K19" s="123">
        <f>IF($H19="","",IFERROR(IF(설정!$C$20&lt;=1,ROUND(IF(설정!$C$19="판매가 마진",$H19/(1-$J19),$H19*(1+$J19)),0),CEILING(IF(설정!$C$19="판매가 마진",$H19/(1-$J19),$H19*(1+$J19)),설정!$C$20)),0))</f>
        <v/>
      </c>
      <c r="L19" s="120">
        <f>IF($K19="","",$K19-$H19)</f>
        <v/>
      </c>
      <c r="M19" s="122">
        <f>IF(N($K19)=0,"",$L19/$K19)</f>
        <v/>
      </c>
      <c r="N19" s="120">
        <f>IF($K19="","",$K19*$F19)</f>
        <v/>
      </c>
      <c r="O19" s="124">
        <f>IF($H19="","",$H19*$F19)</f>
        <v/>
      </c>
    </row>
    <row r="20">
      <c r="B20" s="53" t="n"/>
      <c r="C20" s="100" t="n"/>
      <c r="D20" s="48" t="n"/>
      <c r="E20" s="49" t="n"/>
      <c r="F20" s="50" t="n"/>
      <c r="G20" s="119">
        <f>IF(N($E20)=0,"",$E20*IF($D20="USD",설정!$C$11,IF($D20="CNY",설정!$C$12,1)))</f>
        <v/>
      </c>
      <c r="H20" s="120">
        <f>IF($G20="","",$G20*(1+설정!$C$17))</f>
        <v/>
      </c>
      <c r="I20" s="121" t="n"/>
      <c r="J20" s="122">
        <f>IF($G20="","",IF($I20="",설정!$C$18,$I20))</f>
        <v/>
      </c>
      <c r="K20" s="123">
        <f>IF($H20="","",IFERROR(IF(설정!$C$20&lt;=1,ROUND(IF(설정!$C$19="판매가 마진",$H20/(1-$J20),$H20*(1+$J20)),0),CEILING(IF(설정!$C$19="판매가 마진",$H20/(1-$J20),$H20*(1+$J20)),설정!$C$20)),0))</f>
        <v/>
      </c>
      <c r="L20" s="120">
        <f>IF($K20="","",$K20-$H20)</f>
        <v/>
      </c>
      <c r="M20" s="122">
        <f>IF(N($K20)=0,"",$L20/$K20)</f>
        <v/>
      </c>
      <c r="N20" s="120">
        <f>IF($K20="","",$K20*$F20)</f>
        <v/>
      </c>
      <c r="O20" s="124">
        <f>IF($H20="","",$H20*$F20)</f>
        <v/>
      </c>
    </row>
    <row r="21">
      <c r="B21" s="53" t="n"/>
      <c r="C21" s="100" t="n"/>
      <c r="D21" s="48" t="n"/>
      <c r="E21" s="49" t="n"/>
      <c r="F21" s="50" t="n"/>
      <c r="G21" s="119">
        <f>IF(N($E21)=0,"",$E21*IF($D21="USD",설정!$C$11,IF($D21="CNY",설정!$C$12,1)))</f>
        <v/>
      </c>
      <c r="H21" s="120">
        <f>IF($G21="","",$G21*(1+설정!$C$17))</f>
        <v/>
      </c>
      <c r="I21" s="121" t="n"/>
      <c r="J21" s="122">
        <f>IF($G21="","",IF($I21="",설정!$C$18,$I21))</f>
        <v/>
      </c>
      <c r="K21" s="123">
        <f>IF($H21="","",IFERROR(IF(설정!$C$20&lt;=1,ROUND(IF(설정!$C$19="판매가 마진",$H21/(1-$J21),$H21*(1+$J21)),0),CEILING(IF(설정!$C$19="판매가 마진",$H21/(1-$J21),$H21*(1+$J21)),설정!$C$20)),0))</f>
        <v/>
      </c>
      <c r="L21" s="120">
        <f>IF($K21="","",$K21-$H21)</f>
        <v/>
      </c>
      <c r="M21" s="122">
        <f>IF(N($K21)=0,"",$L21/$K21)</f>
        <v/>
      </c>
      <c r="N21" s="120">
        <f>IF($K21="","",$K21*$F21)</f>
        <v/>
      </c>
      <c r="O21" s="124">
        <f>IF($H21="","",$H21*$F21)</f>
        <v/>
      </c>
    </row>
    <row r="22">
      <c r="B22" s="53" t="n"/>
      <c r="C22" s="100" t="n"/>
      <c r="D22" s="48" t="n"/>
      <c r="E22" s="49" t="n"/>
      <c r="F22" s="50" t="n"/>
      <c r="G22" s="119">
        <f>IF(N($E22)=0,"",$E22*IF($D22="USD",설정!$C$11,IF($D22="CNY",설정!$C$12,1)))</f>
        <v/>
      </c>
      <c r="H22" s="120">
        <f>IF($G22="","",$G22*(1+설정!$C$17))</f>
        <v/>
      </c>
      <c r="I22" s="121" t="n"/>
      <c r="J22" s="122">
        <f>IF($G22="","",IF($I22="",설정!$C$18,$I22))</f>
        <v/>
      </c>
      <c r="K22" s="123">
        <f>IF($H22="","",IFERROR(IF(설정!$C$20&lt;=1,ROUND(IF(설정!$C$19="판매가 마진",$H22/(1-$J22),$H22*(1+$J22)),0),CEILING(IF(설정!$C$19="판매가 마진",$H22/(1-$J22),$H22*(1+$J22)),설정!$C$20)),0))</f>
        <v/>
      </c>
      <c r="L22" s="120">
        <f>IF($K22="","",$K22-$H22)</f>
        <v/>
      </c>
      <c r="M22" s="122">
        <f>IF(N($K22)=0,"",$L22/$K22)</f>
        <v/>
      </c>
      <c r="N22" s="120">
        <f>IF($K22="","",$K22*$F22)</f>
        <v/>
      </c>
      <c r="O22" s="124">
        <f>IF($H22="","",$H22*$F22)</f>
        <v/>
      </c>
    </row>
    <row r="23">
      <c r="B23" s="53" t="n"/>
      <c r="C23" s="100" t="n"/>
      <c r="D23" s="48" t="n"/>
      <c r="E23" s="49" t="n"/>
      <c r="F23" s="50" t="n"/>
      <c r="G23" s="119">
        <f>IF(N($E23)=0,"",$E23*IF($D23="USD",설정!$C$11,IF($D23="CNY",설정!$C$12,1)))</f>
        <v/>
      </c>
      <c r="H23" s="120">
        <f>IF($G23="","",$G23*(1+설정!$C$17))</f>
        <v/>
      </c>
      <c r="I23" s="121" t="n"/>
      <c r="J23" s="122">
        <f>IF($G23="","",IF($I23="",설정!$C$18,$I23))</f>
        <v/>
      </c>
      <c r="K23" s="123">
        <f>IF($H23="","",IFERROR(IF(설정!$C$20&lt;=1,ROUND(IF(설정!$C$19="판매가 마진",$H23/(1-$J23),$H23*(1+$J23)),0),CEILING(IF(설정!$C$19="판매가 마진",$H23/(1-$J23),$H23*(1+$J23)),설정!$C$20)),0))</f>
        <v/>
      </c>
      <c r="L23" s="120">
        <f>IF($K23="","",$K23-$H23)</f>
        <v/>
      </c>
      <c r="M23" s="122">
        <f>IF(N($K23)=0,"",$L23/$K23)</f>
        <v/>
      </c>
      <c r="N23" s="120">
        <f>IF($K23="","",$K23*$F23)</f>
        <v/>
      </c>
      <c r="O23" s="124">
        <f>IF($H23="","",$H23*$F23)</f>
        <v/>
      </c>
    </row>
    <row r="24">
      <c r="B24" s="53" t="n"/>
      <c r="C24" s="100" t="n"/>
      <c r="D24" s="48" t="n"/>
      <c r="E24" s="49" t="n"/>
      <c r="F24" s="50" t="n"/>
      <c r="G24" s="119">
        <f>IF(N($E24)=0,"",$E24*IF($D24="USD",설정!$C$11,IF($D24="CNY",설정!$C$12,1)))</f>
        <v/>
      </c>
      <c r="H24" s="120">
        <f>IF($G24="","",$G24*(1+설정!$C$17))</f>
        <v/>
      </c>
      <c r="I24" s="121" t="n"/>
      <c r="J24" s="122">
        <f>IF($G24="","",IF($I24="",설정!$C$18,$I24))</f>
        <v/>
      </c>
      <c r="K24" s="123">
        <f>IF($H24="","",IFERROR(IF(설정!$C$20&lt;=1,ROUND(IF(설정!$C$19="판매가 마진",$H24/(1-$J24),$H24*(1+$J24)),0),CEILING(IF(설정!$C$19="판매가 마진",$H24/(1-$J24),$H24*(1+$J24)),설정!$C$20)),0))</f>
        <v/>
      </c>
      <c r="L24" s="120">
        <f>IF($K24="","",$K24-$H24)</f>
        <v/>
      </c>
      <c r="M24" s="122">
        <f>IF(N($K24)=0,"",$L24/$K24)</f>
        <v/>
      </c>
      <c r="N24" s="120">
        <f>IF($K24="","",$K24*$F24)</f>
        <v/>
      </c>
      <c r="O24" s="124">
        <f>IF($H24="","",$H24*$F24)</f>
        <v/>
      </c>
    </row>
    <row r="25" ht="18" customHeight="1" thickBot="1">
      <c r="B25" s="55" t="inlineStr">
        <is>
          <t>합계</t>
        </is>
      </c>
      <c r="C25" s="76" t="n"/>
      <c r="D25" s="56" t="n"/>
      <c r="E25" s="56" t="n"/>
      <c r="F25" s="57">
        <f>SUM(F6:F24)</f>
        <v/>
      </c>
      <c r="G25" s="56" t="n"/>
      <c r="H25" s="56" t="n"/>
      <c r="I25" s="56" t="n"/>
      <c r="J25" s="56" t="n"/>
      <c r="K25" s="56" t="n"/>
      <c r="L25" s="125">
        <f>SUM(L6:L24)</f>
        <v/>
      </c>
      <c r="M25" s="126">
        <f>IFERROR(SUM(L6:L24)/SUM(N6:N24),0)</f>
        <v/>
      </c>
      <c r="N25" s="125">
        <f>SUM(N6:N24)</f>
        <v/>
      </c>
      <c r="O25" s="127">
        <f>SUM(O6:O24)</f>
        <v/>
      </c>
    </row>
    <row r="27">
      <c r="B27" s="4" t="inlineStr">
        <is>
          <t>파란 글씨 칸(A~D, G)만 입력하세요. 나머지는 수식입니다.</t>
        </is>
      </c>
      <c r="C27" s="4" t="n"/>
    </row>
    <row r="28">
      <c r="B28" s="4" t="inlineStr">
        <is>
          <t>G열 이윤율을 비워 두면 설정 시트의 기본 이윤율이 적용됩니다.</t>
        </is>
      </c>
      <c r="C28" s="4" t="n"/>
    </row>
    <row r="29">
      <c r="B29" s="3" t="inlineStr">
        <is>
          <t>샘플 6개 품목은 형식을 보여주기 위한 예시입니다. 실제 품목으로 교체하세요.</t>
        </is>
      </c>
      <c r="C29" s="3" t="n"/>
    </row>
    <row r="30">
      <c r="B30" s="4" t="inlineStr">
        <is>
          <t>표시 금액은 모두 부가세 별도, 태성정밀 공급가 기준입니다.</t>
        </is>
      </c>
      <c r="C30" s="4" t="n"/>
    </row>
  </sheetData>
  <dataValidations count="1">
    <dataValidation sqref="D6:D24" showDropDown="0" showInputMessage="0" showErrorMessage="0" allowBlank="1" type="list">
      <formula1>"USD,CNY,KRW"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B2:X34"/>
  <sheetViews>
    <sheetView showGridLines="0" tabSelected="1" zoomScale="85" zoomScaleNormal="85" workbookViewId="0">
      <selection activeCell="I30" sqref="I30"/>
    </sheetView>
  </sheetViews>
  <sheetFormatPr baseColWidth="8" defaultRowHeight="17.4"/>
  <cols>
    <col width="3.69921875" customWidth="1" min="1" max="1"/>
    <col width="26" customWidth="1" min="2" max="2"/>
    <col width="12.69921875" customWidth="1" min="3" max="3"/>
    <col width="8" customWidth="1" min="4" max="5"/>
    <col width="11" customWidth="1" min="6" max="6"/>
    <col width="13" customWidth="1" min="7" max="7"/>
    <col width="8" customWidth="1" min="8" max="8"/>
    <col width="13" customWidth="1" min="9" max="9"/>
    <col width="9" customWidth="1" min="10" max="11"/>
    <col width="13" customWidth="1" min="12" max="14"/>
    <col width="10.09765625" customWidth="1" min="15" max="15"/>
    <col width="12" customWidth="1" min="16" max="16"/>
    <col width="13" customWidth="1" min="17" max="17"/>
    <col width="10" customWidth="1" min="18" max="20"/>
    <col width="15" customWidth="1" min="21" max="22"/>
    <col width="11" customWidth="1" min="23" max="23"/>
    <col width="14" customWidth="1" min="24" max="24"/>
  </cols>
  <sheetData>
    <row r="1" ht="15" customHeight="1"/>
    <row r="2" ht="21" customHeight="1">
      <c r="B2" s="1" t="inlineStr">
        <is>
          <t>상품 판매가 산출 — 수입품 · 국내구매품 유통</t>
        </is>
      </c>
      <c r="C2" s="1" t="n"/>
    </row>
    <row r="3">
      <c r="B3" s="162">
        <f>"매입원가 → 판관비 "&amp;TEXT(설정!$C$24,"0.0%")&amp;" → BEP 가격 → 영업이익 "&amp;TEXT(설정!$C$25,"0.0%")&amp;" → 기준 유통가 → (영업) 최종 유통가   ·   "&amp;설정!$C$26&amp;" 방식"&amp;"   ·   부대비용 수입 "&amp;TEXT(설정!$C$17,"0.0%")&amp;" / 에이전트 "&amp;TEXT(설정!$C$29,"0.0%")&amp;" / 국내 "&amp;TEXT(설정!$C$23,"0.0%")</f>
        <v/>
      </c>
      <c r="C3" s="5" t="n"/>
    </row>
    <row r="4" ht="18" customHeight="1" thickBot="1"/>
    <row r="5" ht="34.95" customHeight="1" thickBot="1">
      <c r="B5" s="71" t="inlineStr">
        <is>
          <t>상품</t>
        </is>
      </c>
      <c r="C5" s="81" t="inlineStr">
        <is>
          <t>품목코드</t>
        </is>
      </c>
      <c r="D5" s="72" t="inlineStr">
        <is>
          <t>구분</t>
        </is>
      </c>
      <c r="E5" s="72" t="inlineStr">
        <is>
          <t>통화</t>
        </is>
      </c>
      <c r="F5" s="72" t="inlineStr">
        <is>
          <t>외화 단가</t>
        </is>
      </c>
      <c r="G5" s="72" t="inlineStr">
        <is>
          <t>원화 매입단가</t>
        </is>
      </c>
      <c r="H5" s="72" t="inlineStr">
        <is>
          <t>수량</t>
        </is>
      </c>
      <c r="I5" s="72" t="inlineStr">
        <is>
          <t>매입원가
/개</t>
        </is>
      </c>
      <c r="J5" s="72" t="inlineStr">
        <is>
          <t>판관비율</t>
        </is>
      </c>
      <c r="K5" s="72" t="inlineStr">
        <is>
          <t>영업이익률</t>
        </is>
      </c>
      <c r="L5" s="72" t="inlineStr">
        <is>
          <t>BEP 가격</t>
        </is>
      </c>
      <c r="M5" s="72" t="inlineStr">
        <is>
          <t>기준 유통가</t>
        </is>
      </c>
      <c r="N5" s="72" t="inlineStr">
        <is>
          <t>최종 유통가
(영업 입력)</t>
        </is>
      </c>
      <c r="O5" s="72" t="inlineStr">
        <is>
          <t>적용가</t>
        </is>
      </c>
      <c r="P5" s="72" t="inlineStr">
        <is>
          <t>판관비
/개</t>
        </is>
      </c>
      <c r="Q5" s="72" t="inlineStr">
        <is>
          <t>영업이익
/개</t>
        </is>
      </c>
      <c r="R5" s="72" t="inlineStr">
        <is>
          <t>영업이익률
(실제)</t>
        </is>
      </c>
      <c r="S5" s="72" t="inlineStr">
        <is>
          <t>기준가 대비</t>
        </is>
      </c>
      <c r="T5" s="72" t="inlineStr">
        <is>
          <t>BEP 대비</t>
        </is>
      </c>
      <c r="U5" s="72" t="inlineStr">
        <is>
          <t>매출 합계</t>
        </is>
      </c>
      <c r="V5" s="73" t="inlineStr">
        <is>
          <t>영업이익 합계</t>
        </is>
      </c>
      <c r="W5" s="128" t="inlineStr">
        <is>
          <t>소비자
마진율</t>
        </is>
      </c>
      <c r="X5" s="128" t="inlineStr">
        <is>
          <t>소비자 판매가</t>
        </is>
      </c>
    </row>
    <row r="6" ht="18" customHeight="1" thickTop="1">
      <c r="B6" s="61" t="inlineStr">
        <is>
          <t>사각 원홀세면수전 크롬</t>
        </is>
      </c>
      <c r="C6" s="77" t="n"/>
      <c r="D6" s="62" t="inlineStr">
        <is>
          <t>국내</t>
        </is>
      </c>
      <c r="E6" s="62" t="inlineStr">
        <is>
          <t>KRW</t>
        </is>
      </c>
      <c r="F6" s="63" t="n"/>
      <c r="G6" s="129" t="n">
        <v>29500</v>
      </c>
      <c r="H6" s="65" t="n">
        <v>300</v>
      </c>
      <c r="I6" s="113">
        <f>IF($D6="","",IF(OR($E6="USD",$E6="CNY"),IF(N($F6)=0,"",$F6*IF($E6="USD",설정!$C$11,설정!$C$12)*(1+IF($D6="수입",설정!$C$17,설정!$C$23))),IF(N($G6)=0,"",$G6*(1+IF($D6="수입",설정!$C$29,설정!$C$23)))))</f>
        <v/>
      </c>
      <c r="J6" s="130" t="n"/>
      <c r="K6" s="130" t="n"/>
      <c r="L6" s="114">
        <f>IF($I6="","",IFERROR(IF(설정!$C$26="원가 가산",$I6*(1+IF($J6="",설정!$C$24,$J6)),$I6/(1-IF($J6="",설정!$C$24,$J6))),0))</f>
        <v/>
      </c>
      <c r="M6" s="131">
        <f>IF($I6="","",IFERROR(IF(설정!$C$27&lt;=1,ROUND(IF(설정!$C$26="원가 가산",$L6*(1+IF($K6="",설정!$C$25,$K6)),$I6/(1-IF($J6="",설정!$C$24,$J6)-IF($K6="",설정!$C$25,$K6))),0),CEILING(IF(설정!$C$26="원가 가산",$L6*(1+IF($K6="",설정!$C$25,$K6)),$I6/(1-IF($J6="",설정!$C$24,$J6)-IF($K6="",설정!$C$25,$K6))),설정!$C$27)),0))</f>
        <v/>
      </c>
      <c r="N6" s="129" t="n"/>
      <c r="O6" s="114">
        <f>IF($M6="","",IF($N6="",$M6,$N6))</f>
        <v/>
      </c>
      <c r="P6" s="114">
        <f>IF($O6="","",IF(설정!$C$26="원가 가산",$I6*IF($J6="",설정!$C$24,$J6),$O6*IF($J6="",설정!$C$24,$J6)))</f>
        <v/>
      </c>
      <c r="Q6" s="114">
        <f>IF($O6="","",$O6-$I6-$P6)</f>
        <v/>
      </c>
      <c r="R6" s="116">
        <f>IF(N($O6)=0,"",$Q6/$O6)</f>
        <v/>
      </c>
      <c r="S6" s="116">
        <f>IF(N($M6)=0,"",$O6/$M6-1)</f>
        <v/>
      </c>
      <c r="T6" s="116">
        <f>IF(N($L6)=0,"",$O6/$L6-1)</f>
        <v/>
      </c>
      <c r="U6" s="114">
        <f>IF($O6="","",$O6*$H6)</f>
        <v/>
      </c>
      <c r="V6" s="118">
        <f>IF($Q6="","",$Q6*$H6)</f>
        <v/>
      </c>
      <c r="W6" s="132" t="n"/>
      <c r="X6" s="133">
        <f>IF($O6="","",IFERROR(IF(설정!$C$27&lt;=1,ROUND(IF(설정!$C$26="원가 가산",$O6*(1+IF($W6="",설정!$C$28,$W6)),$O6/(1-IF($W6="",설정!$C$28,$W6))),0),CEILING(IF(설정!$C$26="원가 가산",$O6*(1+IF($W6="",설정!$C$28,$W6)),$O6/(1-IF($W6="",설정!$C$28,$W6))),설정!$C$27)),0))</f>
        <v/>
      </c>
    </row>
    <row r="7">
      <c r="B7" s="61" t="inlineStr">
        <is>
          <t>사각 원홀세면수전 브러시니켈</t>
        </is>
      </c>
      <c r="C7" s="75" t="n"/>
      <c r="D7" s="48" t="inlineStr">
        <is>
          <t>국내</t>
        </is>
      </c>
      <c r="E7" s="48" t="inlineStr">
        <is>
          <t>KRW</t>
        </is>
      </c>
      <c r="F7" s="49" t="n"/>
      <c r="G7" s="134" t="n"/>
      <c r="H7" s="50" t="n">
        <v>300</v>
      </c>
      <c r="I7" s="119">
        <f>IF($D7="","",IF(OR($E7="USD",$E7="CNY"),IF(N($F7)=0,"",$F7*IF($E7="USD",설정!$C$11,설정!$C$12)*(1+IF($D7="수입",설정!$C$17,설정!$C$23))),IF(N($G7)=0,"",$G7*(1+IF($D7="수입",설정!$C$29,설정!$C$23)))))</f>
        <v/>
      </c>
      <c r="J7" s="135" t="n"/>
      <c r="K7" s="135" t="n"/>
      <c r="L7" s="120">
        <f>IF($I7="","",IFERROR(IF(설정!$C$26="원가 가산",$I7*(1+IF($J7="",설정!$C$24,$J7)),$I7/(1-IF($J7="",설정!$C$24,$J7))),0))</f>
        <v/>
      </c>
      <c r="M7" s="136">
        <f>IF($I7="","",IFERROR(IF(설정!$C$27&lt;=1,ROUND(IF(설정!$C$26="원가 가산",$L7*(1+IF($K7="",설정!$C$25,$K7)),$I7/(1-IF($J7="",설정!$C$24,$J7)-IF($K7="",설정!$C$25,$K7))),0),CEILING(IF(설정!$C$26="원가 가산",$L7*(1+IF($K7="",설정!$C$25,$K7)),$I7/(1-IF($J7="",설정!$C$24,$J7)-IF($K7="",설정!$C$25,$K7))),설정!$C$27)),0))</f>
        <v/>
      </c>
      <c r="N7" s="134" t="n"/>
      <c r="O7" s="120">
        <f>IF($M7="","",IF($N7="",$M7,$N7))</f>
        <v/>
      </c>
      <c r="P7" s="120">
        <f>IF($O7="","",IF(설정!$C$26="원가 가산",$I7*IF($J7="",설정!$C$24,$J7),$O7*IF($J7="",설정!$C$24,$J7)))</f>
        <v/>
      </c>
      <c r="Q7" s="120">
        <f>IF($O7="","",$O7-$I7-$P7)</f>
        <v/>
      </c>
      <c r="R7" s="122">
        <f>IF(N($O7)=0,"",$Q7/$O7)</f>
        <v/>
      </c>
      <c r="S7" s="122">
        <f>IF(N($M7)=0,"",$O7/$M7-1)</f>
        <v/>
      </c>
      <c r="T7" s="122">
        <f>IF(N($L7)=0,"",$O7/$L7-1)</f>
        <v/>
      </c>
      <c r="U7" s="120">
        <f>IF($O7="","",$O7*$H7)</f>
        <v/>
      </c>
      <c r="V7" s="124">
        <f>IF($Q7="","",$Q7*$H7)</f>
        <v/>
      </c>
      <c r="W7" s="132" t="n"/>
      <c r="X7" s="133">
        <f>IF($O7="","",IFERROR(IF(설정!$C$27&lt;=1,ROUND(IF(설정!$C$26="원가 가산",$O7*(1+IF($W7="",설정!$C$28,$W7)),$O7/(1-IF($W7="",설정!$C$28,$W7))),0),CEILING(IF(설정!$C$26="원가 가산",$O7*(1+IF($W7="",설정!$C$28,$W7)),$O7/(1-IF($W7="",설정!$C$28,$W7))),설정!$C$27)),0))</f>
        <v/>
      </c>
    </row>
    <row r="8">
      <c r="B8" s="53" t="inlineStr">
        <is>
          <t>사각 욕조수전 크롬</t>
        </is>
      </c>
      <c r="C8" s="75" t="n"/>
      <c r="D8" s="48" t="inlineStr">
        <is>
          <t>국내</t>
        </is>
      </c>
      <c r="E8" s="48" t="inlineStr">
        <is>
          <t>KRW</t>
        </is>
      </c>
      <c r="F8" s="49" t="n"/>
      <c r="G8" s="134" t="n"/>
      <c r="H8" s="50" t="n">
        <v>300</v>
      </c>
      <c r="I8" s="119">
        <f>IF($D8="","",IF(OR($E8="USD",$E8="CNY"),IF(N($F8)=0,"",$F8*IF($E8="USD",설정!$C$11,설정!$C$12)*(1+IF($D8="수입",설정!$C$17,설정!$C$23))),IF(N($G8)=0,"",$G8*(1+IF($D8="수입",설정!$C$29,설정!$C$23)))))</f>
        <v/>
      </c>
      <c r="J8" s="135" t="n"/>
      <c r="K8" s="135" t="n"/>
      <c r="L8" s="120">
        <f>IF($I8="","",IFERROR(IF(설정!$C$26="원가 가산",$I8*(1+IF($J8="",설정!$C$24,$J8)),$I8/(1-IF($J8="",설정!$C$24,$J8))),0))</f>
        <v/>
      </c>
      <c r="M8" s="136">
        <f>IF($I8="","",IFERROR(IF(설정!$C$27&lt;=1,ROUND(IF(설정!$C$26="원가 가산",$L8*(1+IF($K8="",설정!$C$25,$K8)),$I8/(1-IF($J8="",설정!$C$24,$J8)-IF($K8="",설정!$C$25,$K8))),0),CEILING(IF(설정!$C$26="원가 가산",$L8*(1+IF($K8="",설정!$C$25,$K8)),$I8/(1-IF($J8="",설정!$C$24,$J8)-IF($K8="",설정!$C$25,$K8))),설정!$C$27)),0))</f>
        <v/>
      </c>
      <c r="N8" s="134" t="n"/>
      <c r="O8" s="120">
        <f>IF($M8="","",IF($N8="",$M8,$N8))</f>
        <v/>
      </c>
      <c r="P8" s="120">
        <f>IF($O8="","",IF(설정!$C$26="원가 가산",$I8*IF($J8="",설정!$C$24,$J8),$O8*IF($J8="",설정!$C$24,$J8)))</f>
        <v/>
      </c>
      <c r="Q8" s="120">
        <f>IF($O8="","",$O8-$I8-$P8)</f>
        <v/>
      </c>
      <c r="R8" s="122">
        <f>IF(N($O8)=0,"",$Q8/$O8)</f>
        <v/>
      </c>
      <c r="S8" s="122">
        <f>IF(N($M8)=0,"",$O8/$M8-1)</f>
        <v/>
      </c>
      <c r="T8" s="122">
        <f>IF(N($L8)=0,"",$O8/$L8-1)</f>
        <v/>
      </c>
      <c r="U8" s="120">
        <f>IF($O8="","",$O8*$H8)</f>
        <v/>
      </c>
      <c r="V8" s="124">
        <f>IF($Q8="","",$Q8*$H8)</f>
        <v/>
      </c>
      <c r="W8" s="132" t="n"/>
      <c r="X8" s="133">
        <f>IF($O8="","",IFERROR(IF(설정!$C$27&lt;=1,ROUND(IF(설정!$C$26="원가 가산",$O8*(1+IF($W8="",설정!$C$28,$W8)),$O8/(1-IF($W8="",설정!$C$28,$W8))),0),CEILING(IF(설정!$C$26="원가 가산",$O8*(1+IF($W8="",설정!$C$28,$W8)),$O8/(1-IF($W8="",설정!$C$28,$W8))),설정!$C$27)),0))</f>
        <v/>
      </c>
    </row>
    <row r="9">
      <c r="B9" s="53" t="inlineStr">
        <is>
          <t>사각 욕조수전 브러시니켈</t>
        </is>
      </c>
      <c r="C9" s="75" t="n"/>
      <c r="D9" s="48" t="inlineStr">
        <is>
          <t>국내</t>
        </is>
      </c>
      <c r="E9" s="48" t="inlineStr">
        <is>
          <t>KRW</t>
        </is>
      </c>
      <c r="F9" s="49" t="n"/>
      <c r="G9" s="134" t="n"/>
      <c r="H9" s="50" t="n">
        <v>300</v>
      </c>
      <c r="I9" s="119">
        <f>IF($D9="","",IF(OR($E9="USD",$E9="CNY"),IF(N($F9)=0,"",$F9*IF($E9="USD",설정!$C$11,설정!$C$12)*(1+IF($D9="수입",설정!$C$17,설정!$C$23))),IF(N($G9)=0,"",$G9*(1+IF($D9="수입",설정!$C$29,설정!$C$23)))))</f>
        <v/>
      </c>
      <c r="J9" s="135" t="n"/>
      <c r="K9" s="135" t="n"/>
      <c r="L9" s="120">
        <f>IF($I9="","",IFERROR(IF(설정!$C$26="원가 가산",$I9*(1+IF($J9="",설정!$C$24,$J9)),$I9/(1-IF($J9="",설정!$C$24,$J9))),0))</f>
        <v/>
      </c>
      <c r="M9" s="136">
        <f>IF($I9="","",IFERROR(IF(설정!$C$27&lt;=1,ROUND(IF(설정!$C$26="원가 가산",$L9*(1+IF($K9="",설정!$C$25,$K9)),$I9/(1-IF($J9="",설정!$C$24,$J9)-IF($K9="",설정!$C$25,$K9))),0),CEILING(IF(설정!$C$26="원가 가산",$L9*(1+IF($K9="",설정!$C$25,$K9)),$I9/(1-IF($J9="",설정!$C$24,$J9)-IF($K9="",설정!$C$25,$K9))),설정!$C$27)),0))</f>
        <v/>
      </c>
      <c r="N9" s="134" t="n"/>
      <c r="O9" s="120">
        <f>IF($M9="","",IF($N9="",$M9,$N9))</f>
        <v/>
      </c>
      <c r="P9" s="120">
        <f>IF($O9="","",IF(설정!$C$26="원가 가산",$I9*IF($J9="",설정!$C$24,$J9),$O9*IF($J9="",설정!$C$24,$J9)))</f>
        <v/>
      </c>
      <c r="Q9" s="120">
        <f>IF($O9="","",$O9-$I9-$P9)</f>
        <v/>
      </c>
      <c r="R9" s="122">
        <f>IF(N($O9)=0,"",$Q9/$O9)</f>
        <v/>
      </c>
      <c r="S9" s="122">
        <f>IF(N($M9)=0,"",$O9/$M9-1)</f>
        <v/>
      </c>
      <c r="T9" s="122">
        <f>IF(N($L9)=0,"",$O9/$L9-1)</f>
        <v/>
      </c>
      <c r="U9" s="120">
        <f>IF($O9="","",$O9*$H9)</f>
        <v/>
      </c>
      <c r="V9" s="124">
        <f>IF($Q9="","",$Q9*$H9)</f>
        <v/>
      </c>
      <c r="W9" s="132" t="n"/>
      <c r="X9" s="133">
        <f>IF($O9="","",IFERROR(IF(설정!$C$27&lt;=1,ROUND(IF(설정!$C$26="원가 가산",$O9*(1+IF($W9="",설정!$C$28,$W9)),$O9/(1-IF($W9="",설정!$C$28,$W9))),0),CEILING(IF(설정!$C$26="원가 가산",$O9*(1+IF($W9="",설정!$C$28,$W9)),$O9/(1-IF($W9="",설정!$C$28,$W9))),설정!$C$27)),0))</f>
        <v/>
      </c>
    </row>
    <row r="10">
      <c r="B10" s="53" t="inlineStr">
        <is>
          <t>원형 원홀세면수전 크롬</t>
        </is>
      </c>
      <c r="C10" s="75" t="n"/>
      <c r="D10" s="48" t="inlineStr">
        <is>
          <t>국내</t>
        </is>
      </c>
      <c r="E10" s="48" t="inlineStr">
        <is>
          <t>KRW</t>
        </is>
      </c>
      <c r="F10" s="49" t="n"/>
      <c r="G10" s="134" t="n"/>
      <c r="H10" s="50" t="n">
        <v>300</v>
      </c>
      <c r="I10" s="119">
        <f>IF($D10="","",IF(OR($E10="USD",$E10="CNY"),IF(N($F10)=0,"",$F10*IF($E10="USD",설정!$C$11,설정!$C$12)*(1+IF($D10="수입",설정!$C$17,설정!$C$23))),IF(N($G10)=0,"",$G10*(1+IF($D10="수입",설정!$C$29,설정!$C$23)))))</f>
        <v/>
      </c>
      <c r="J10" s="135" t="n"/>
      <c r="K10" s="135" t="n"/>
      <c r="L10" s="120">
        <f>IF($I10="","",IFERROR(IF(설정!$C$26="원가 가산",$I10*(1+IF($J10="",설정!$C$24,$J10)),$I10/(1-IF($J10="",설정!$C$24,$J10))),0))</f>
        <v/>
      </c>
      <c r="M10" s="136">
        <f>IF($I10="","",IFERROR(IF(설정!$C$27&lt;=1,ROUND(IF(설정!$C$26="원가 가산",$L10*(1+IF($K10="",설정!$C$25,$K10)),$I10/(1-IF($J10="",설정!$C$24,$J10)-IF($K10="",설정!$C$25,$K10))),0),CEILING(IF(설정!$C$26="원가 가산",$L10*(1+IF($K10="",설정!$C$25,$K10)),$I10/(1-IF($J10="",설정!$C$24,$J10)-IF($K10="",설정!$C$25,$K10))),설정!$C$27)),0))</f>
        <v/>
      </c>
      <c r="N10" s="134" t="n"/>
      <c r="O10" s="120">
        <f>IF($M10="","",IF($N10="",$M10,$N10))</f>
        <v/>
      </c>
      <c r="P10" s="120">
        <f>IF($O10="","",IF(설정!$C$26="원가 가산",$I10*IF($J10="",설정!$C$24,$J10),$O10*IF($J10="",설정!$C$24,$J10)))</f>
        <v/>
      </c>
      <c r="Q10" s="120">
        <f>IF($O10="","",$O10-$I10-$P10)</f>
        <v/>
      </c>
      <c r="R10" s="122">
        <f>IF(N($O10)=0,"",$Q10/$O10)</f>
        <v/>
      </c>
      <c r="S10" s="122">
        <f>IF(N($M10)=0,"",$O10/$M10-1)</f>
        <v/>
      </c>
      <c r="T10" s="122">
        <f>IF(N($L10)=0,"",$O10/$L10-1)</f>
        <v/>
      </c>
      <c r="U10" s="120">
        <f>IF($O10="","",$O10*$H10)</f>
        <v/>
      </c>
      <c r="V10" s="124">
        <f>IF($Q10="","",$Q10*$H10)</f>
        <v/>
      </c>
      <c r="W10" s="132" t="n"/>
      <c r="X10" s="133">
        <f>IF($O10="","",IFERROR(IF(설정!$C$27&lt;=1,ROUND(IF(설정!$C$26="원가 가산",$O10*(1+IF($W10="",설정!$C$28,$W10)),$O10/(1-IF($W10="",설정!$C$28,$W10))),0),CEILING(IF(설정!$C$26="원가 가산",$O10*(1+IF($W10="",설정!$C$28,$W10)),$O10/(1-IF($W10="",설정!$C$28,$W10))),설정!$C$27)),0))</f>
        <v/>
      </c>
    </row>
    <row r="11">
      <c r="B11" s="53" t="inlineStr">
        <is>
          <t>원홀 원홀세면수전 브러시니켈</t>
        </is>
      </c>
      <c r="C11" s="75" t="n"/>
      <c r="D11" s="48" t="inlineStr">
        <is>
          <t>국내</t>
        </is>
      </c>
      <c r="E11" s="48" t="inlineStr">
        <is>
          <t>KRW</t>
        </is>
      </c>
      <c r="F11" s="49" t="n"/>
      <c r="G11" s="134" t="n"/>
      <c r="H11" s="50" t="n">
        <v>300</v>
      </c>
      <c r="I11" s="119">
        <f>IF($D11="","",IF(OR($E11="USD",$E11="CNY"),IF(N($F11)=0,"",$F11*IF($E11="USD",설정!$C$11,설정!$C$12)*(1+IF($D11="수입",설정!$C$17,설정!$C$23))),IF(N($G11)=0,"",$G11*(1+IF($D11="수입",설정!$C$29,설정!$C$23)))))</f>
        <v/>
      </c>
      <c r="J11" s="135" t="n"/>
      <c r="K11" s="135" t="n"/>
      <c r="L11" s="120">
        <f>IF($I11="","",IFERROR(IF(설정!$C$26="원가 가산",$I11*(1+IF($J11="",설정!$C$24,$J11)),$I11/(1-IF($J11="",설정!$C$24,$J11))),0))</f>
        <v/>
      </c>
      <c r="M11" s="136">
        <f>IF($I11="","",IFERROR(IF(설정!$C$27&lt;=1,ROUND(IF(설정!$C$26="원가 가산",$L11*(1+IF($K11="",설정!$C$25,$K11)),$I11/(1-IF($J11="",설정!$C$24,$J11)-IF($K11="",설정!$C$25,$K11))),0),CEILING(IF(설정!$C$26="원가 가산",$L11*(1+IF($K11="",설정!$C$25,$K11)),$I11/(1-IF($J11="",설정!$C$24,$J11)-IF($K11="",설정!$C$25,$K11))),설정!$C$27)),0))</f>
        <v/>
      </c>
      <c r="N11" s="134" t="n"/>
      <c r="O11" s="120">
        <f>IF($M11="","",IF($N11="",$M11,$N11))</f>
        <v/>
      </c>
      <c r="P11" s="120">
        <f>IF($O11="","",IF(설정!$C$26="원가 가산",$I11*IF($J11="",설정!$C$24,$J11),$O11*IF($J11="",설정!$C$24,$J11)))</f>
        <v/>
      </c>
      <c r="Q11" s="120">
        <f>IF($O11="","",$O11-$I11-$P11)</f>
        <v/>
      </c>
      <c r="R11" s="122">
        <f>IF(N($O11)=0,"",$Q11/$O11)</f>
        <v/>
      </c>
      <c r="S11" s="122">
        <f>IF(N($M11)=0,"",$O11/$M11-1)</f>
        <v/>
      </c>
      <c r="T11" s="122">
        <f>IF(N($L11)=0,"",$O11/$L11-1)</f>
        <v/>
      </c>
      <c r="U11" s="120">
        <f>IF($O11="","",$O11*$H11)</f>
        <v/>
      </c>
      <c r="V11" s="124">
        <f>IF($Q11="","",$Q11*$H11)</f>
        <v/>
      </c>
      <c r="W11" s="132" t="n"/>
      <c r="X11" s="133">
        <f>IF($O11="","",IFERROR(IF(설정!$C$27&lt;=1,ROUND(IF(설정!$C$26="원가 가산",$O11*(1+IF($W11="",설정!$C$28,$W11)),$O11/(1-IF($W11="",설정!$C$28,$W11))),0),CEILING(IF(설정!$C$26="원가 가산",$O11*(1+IF($W11="",설정!$C$28,$W11)),$O11/(1-IF($W11="",설정!$C$28,$W11))),설정!$C$27)),0))</f>
        <v/>
      </c>
    </row>
    <row r="12">
      <c r="B12" s="53" t="inlineStr">
        <is>
          <t>원형 욕조수전 크롬</t>
        </is>
      </c>
      <c r="C12" s="75" t="n"/>
      <c r="D12" s="48" t="inlineStr">
        <is>
          <t>국내</t>
        </is>
      </c>
      <c r="E12" s="48" t="inlineStr">
        <is>
          <t>KRW</t>
        </is>
      </c>
      <c r="F12" s="49" t="n"/>
      <c r="G12" s="134" t="n"/>
      <c r="H12" s="50" t="n">
        <v>300</v>
      </c>
      <c r="I12" s="119">
        <f>IF($D12="","",IF(OR($E12="USD",$E12="CNY"),IF(N($F12)=0,"",$F12*IF($E12="USD",설정!$C$11,설정!$C$12)*(1+IF($D12="수입",설정!$C$17,설정!$C$23))),IF(N($G12)=0,"",$G12*(1+IF($D12="수입",설정!$C$29,설정!$C$23)))))</f>
        <v/>
      </c>
      <c r="J12" s="135" t="n"/>
      <c r="K12" s="135" t="n"/>
      <c r="L12" s="120">
        <f>IF($I12="","",IFERROR(IF(설정!$C$26="원가 가산",$I12*(1+IF($J12="",설정!$C$24,$J12)),$I12/(1-IF($J12="",설정!$C$24,$J12))),0))</f>
        <v/>
      </c>
      <c r="M12" s="136">
        <f>IF($I12="","",IFERROR(IF(설정!$C$27&lt;=1,ROUND(IF(설정!$C$26="원가 가산",$L12*(1+IF($K12="",설정!$C$25,$K12)),$I12/(1-IF($J12="",설정!$C$24,$J12)-IF($K12="",설정!$C$25,$K12))),0),CEILING(IF(설정!$C$26="원가 가산",$L12*(1+IF($K12="",설정!$C$25,$K12)),$I12/(1-IF($J12="",설정!$C$24,$J12)-IF($K12="",설정!$C$25,$K12))),설정!$C$27)),0))</f>
        <v/>
      </c>
      <c r="N12" s="134" t="n"/>
      <c r="O12" s="120">
        <f>IF($M12="","",IF($N12="",$M12,$N12))</f>
        <v/>
      </c>
      <c r="P12" s="120">
        <f>IF($O12="","",IF(설정!$C$26="원가 가산",$I12*IF($J12="",설정!$C$24,$J12),$O12*IF($J12="",설정!$C$24,$J12)))</f>
        <v/>
      </c>
      <c r="Q12" s="120">
        <f>IF($O12="","",$O12-$I12-$P12)</f>
        <v/>
      </c>
      <c r="R12" s="122">
        <f>IF(N($O12)=0,"",$Q12/$O12)</f>
        <v/>
      </c>
      <c r="S12" s="122">
        <f>IF(N($M12)=0,"",$O12/$M12-1)</f>
        <v/>
      </c>
      <c r="T12" s="122">
        <f>IF(N($L12)=0,"",$O12/$L12-1)</f>
        <v/>
      </c>
      <c r="U12" s="120">
        <f>IF($O12="","",$O12*$H12)</f>
        <v/>
      </c>
      <c r="V12" s="124">
        <f>IF($Q12="","",$Q12*$H12)</f>
        <v/>
      </c>
      <c r="W12" s="132" t="n"/>
      <c r="X12" s="133">
        <f>IF($O12="","",IFERROR(IF(설정!$C$27&lt;=1,ROUND(IF(설정!$C$26="원가 가산",$O12*(1+IF($W12="",설정!$C$28,$W12)),$O12/(1-IF($W12="",설정!$C$28,$W12))),0),CEILING(IF(설정!$C$26="원가 가산",$O12*(1+IF($W12="",설정!$C$28,$W12)),$O12/(1-IF($W12="",설정!$C$28,$W12))),설정!$C$27)),0))</f>
        <v/>
      </c>
    </row>
    <row r="13">
      <c r="B13" s="53" t="inlineStr">
        <is>
          <t>원형 욕조수전 브러시니켈</t>
        </is>
      </c>
      <c r="C13" s="75" t="n"/>
      <c r="D13" s="48" t="inlineStr">
        <is>
          <t>수입</t>
        </is>
      </c>
      <c r="E13" s="48" t="inlineStr">
        <is>
          <t>KRW</t>
        </is>
      </c>
      <c r="F13" s="49" t="n"/>
      <c r="G13" s="134" t="n"/>
      <c r="H13" s="50" t="n">
        <v>300</v>
      </c>
      <c r="I13" s="119">
        <f>IF($D13="","",IF(OR($E13="USD",$E13="CNY"),IF(N($F13)=0,"",$F13*IF($E13="USD",설정!$C$11,설정!$C$12)*(1+IF($D13="수입",설정!$C$17,설정!$C$23))),IF(N($G13)=0,"",$G13*(1+IF($D13="수입",설정!$C$29,설정!$C$23)))))</f>
        <v/>
      </c>
      <c r="J13" s="135" t="n"/>
      <c r="K13" s="135" t="n"/>
      <c r="L13" s="120">
        <f>IF($I13="","",IFERROR(IF(설정!$C$26="원가 가산",$I13*(1+IF($J13="",설정!$C$24,$J13)),$I13/(1-IF($J13="",설정!$C$24,$J13))),0))</f>
        <v/>
      </c>
      <c r="M13" s="136">
        <f>IF($I13="","",IFERROR(IF(설정!$C$27&lt;=1,ROUND(IF(설정!$C$26="원가 가산",$L13*(1+IF($K13="",설정!$C$25,$K13)),$I13/(1-IF($J13="",설정!$C$24,$J13)-IF($K13="",설정!$C$25,$K13))),0),CEILING(IF(설정!$C$26="원가 가산",$L13*(1+IF($K13="",설정!$C$25,$K13)),$I13/(1-IF($J13="",설정!$C$24,$J13)-IF($K13="",설정!$C$25,$K13))),설정!$C$27)),0))</f>
        <v/>
      </c>
      <c r="N13" s="134" t="n"/>
      <c r="O13" s="120">
        <f>IF($M13="","",IF($N13="",$M13,$N13))</f>
        <v/>
      </c>
      <c r="P13" s="120">
        <f>IF($O13="","",IF(설정!$C$26="원가 가산",$I13*IF($J13="",설정!$C$24,$J13),$O13*IF($J13="",설정!$C$24,$J13)))</f>
        <v/>
      </c>
      <c r="Q13" s="120">
        <f>IF($O13="","",$O13-$I13-$P13)</f>
        <v/>
      </c>
      <c r="R13" s="122">
        <f>IF(N($O13)=0,"",$Q13/$O13)</f>
        <v/>
      </c>
      <c r="S13" s="122">
        <f>IF(N($M13)=0,"",$O13/$M13-1)</f>
        <v/>
      </c>
      <c r="T13" s="122">
        <f>IF(N($L13)=0,"",$O13/$L13-1)</f>
        <v/>
      </c>
      <c r="U13" s="120">
        <f>IF($O13="","",$O13*$H13)</f>
        <v/>
      </c>
      <c r="V13" s="124">
        <f>IF($Q13="","",$Q13*$H13)</f>
        <v/>
      </c>
      <c r="W13" s="132" t="n"/>
      <c r="X13" s="133">
        <f>IF($O13="","",IFERROR(IF(설정!$C$27&lt;=1,ROUND(IF(설정!$C$26="원가 가산",$O13*(1+IF($W13="",설정!$C$28,$W13)),$O13/(1-IF($W13="",설정!$C$28,$W13))),0),CEILING(IF(설정!$C$26="원가 가산",$O13*(1+IF($W13="",설정!$C$28,$W13)),$O13/(1-IF($W13="",설정!$C$28,$W13))),설정!$C$27)),0))</f>
        <v/>
      </c>
    </row>
    <row r="14">
      <c r="B14" s="53" t="n"/>
      <c r="C14" s="75" t="n"/>
      <c r="D14" s="48" t="n"/>
      <c r="E14" s="48" t="n"/>
      <c r="F14" s="49" t="n"/>
      <c r="G14" s="134" t="n"/>
      <c r="H14" s="50" t="n"/>
      <c r="I14" s="119">
        <f>IF($D14="","",IF(OR($E14="USD",$E14="CNY"),IF(N($F14)=0,"",$F14*IF($E14="USD",설정!$C$11,설정!$C$12)*(1+IF($D14="수입",설정!$C$17,설정!$C$23))),IF(N($G14)=0,"",$G14*(1+IF($D14="수입",설정!$C$29,설정!$C$23)))))</f>
        <v/>
      </c>
      <c r="J14" s="135" t="n"/>
      <c r="K14" s="135" t="n"/>
      <c r="L14" s="120">
        <f>IF($I14="","",IFERROR(IF(설정!$C$26="원가 가산",$I14*(1+IF($J14="",설정!$C$24,$J14)),$I14/(1-IF($J14="",설정!$C$24,$J14))),0))</f>
        <v/>
      </c>
      <c r="M14" s="136">
        <f>IF($I14="","",IFERROR(IF(설정!$C$27&lt;=1,ROUND(IF(설정!$C$26="원가 가산",$L14*(1+IF($K14="",설정!$C$25,$K14)),$I14/(1-IF($J14="",설정!$C$24,$J14)-IF($K14="",설정!$C$25,$K14))),0),CEILING(IF(설정!$C$26="원가 가산",$L14*(1+IF($K14="",설정!$C$25,$K14)),$I14/(1-IF($J14="",설정!$C$24,$J14)-IF($K14="",설정!$C$25,$K14))),설정!$C$27)),0))</f>
        <v/>
      </c>
      <c r="N14" s="134" t="n"/>
      <c r="O14" s="120">
        <f>IF($M14="","",IF($N14="",$M14,$N14))</f>
        <v/>
      </c>
      <c r="P14" s="120">
        <f>IF($O14="","",IF(설정!$C$26="원가 가산",$I14*IF($J14="",설정!$C$24,$J14),$O14*IF($J14="",설정!$C$24,$J14)))</f>
        <v/>
      </c>
      <c r="Q14" s="120">
        <f>IF($O14="","",$O14-$I14-$P14)</f>
        <v/>
      </c>
      <c r="R14" s="122">
        <f>IF(N($O14)=0,"",$Q14/$O14)</f>
        <v/>
      </c>
      <c r="S14" s="122">
        <f>IF(N($M14)=0,"",$O14/$M14-1)</f>
        <v/>
      </c>
      <c r="T14" s="122">
        <f>IF(N($L14)=0,"",$O14/$L14-1)</f>
        <v/>
      </c>
      <c r="U14" s="120">
        <f>IF($O14="","",$O14*$H14)</f>
        <v/>
      </c>
      <c r="V14" s="124">
        <f>IF($Q14="","",$Q14*$H14)</f>
        <v/>
      </c>
      <c r="W14" s="132" t="n"/>
      <c r="X14" s="133">
        <f>IF($O14="","",IFERROR(IF(설정!$C$27&lt;=1,ROUND(IF(설정!$C$26="원가 가산",$O14*(1+IF($W14="",설정!$C$28,$W14)),$O14/(1-IF($W14="",설정!$C$28,$W14))),0),CEILING(IF(설정!$C$26="원가 가산",$O14*(1+IF($W14="",설정!$C$28,$W14)),$O14/(1-IF($W14="",설정!$C$28,$W14))),설정!$C$27)),0))</f>
        <v/>
      </c>
    </row>
    <row r="15">
      <c r="B15" s="53" t="n"/>
      <c r="C15" s="75" t="n"/>
      <c r="D15" s="48" t="n"/>
      <c r="E15" s="48" t="n"/>
      <c r="F15" s="49" t="n"/>
      <c r="G15" s="134" t="n"/>
      <c r="H15" s="50" t="n"/>
      <c r="I15" s="119">
        <f>IF($D15="","",IF(OR($E15="USD",$E15="CNY"),IF(N($F15)=0,"",$F15*IF($E15="USD",설정!$C$11,설정!$C$12)*(1+IF($D15="수입",설정!$C$17,설정!$C$23))),IF(N($G15)=0,"",$G15*(1+IF($D15="수입",설정!$C$29,설정!$C$23)))))</f>
        <v/>
      </c>
      <c r="J15" s="135" t="n"/>
      <c r="K15" s="135" t="n"/>
      <c r="L15" s="120">
        <f>IF($I15="","",IFERROR(IF(설정!$C$26="원가 가산",$I15*(1+IF($J15="",설정!$C$24,$J15)),$I15/(1-IF($J15="",설정!$C$24,$J15))),0))</f>
        <v/>
      </c>
      <c r="M15" s="136">
        <f>IF($I15="","",IFERROR(IF(설정!$C$27&lt;=1,ROUND(IF(설정!$C$26="원가 가산",$L15*(1+IF($K15="",설정!$C$25,$K15)),$I15/(1-IF($J15="",설정!$C$24,$J15)-IF($K15="",설정!$C$25,$K15))),0),CEILING(IF(설정!$C$26="원가 가산",$L15*(1+IF($K15="",설정!$C$25,$K15)),$I15/(1-IF($J15="",설정!$C$24,$J15)-IF($K15="",설정!$C$25,$K15))),설정!$C$27)),0))</f>
        <v/>
      </c>
      <c r="N15" s="134" t="n"/>
      <c r="O15" s="120">
        <f>IF($M15="","",IF($N15="",$M15,$N15))</f>
        <v/>
      </c>
      <c r="P15" s="120">
        <f>IF($O15="","",IF(설정!$C$26="원가 가산",$I15*IF($J15="",설정!$C$24,$J15),$O15*IF($J15="",설정!$C$24,$J15)))</f>
        <v/>
      </c>
      <c r="Q15" s="120">
        <f>IF($O15="","",$O15-$I15-$P15)</f>
        <v/>
      </c>
      <c r="R15" s="122">
        <f>IF(N($O15)=0,"",$Q15/$O15)</f>
        <v/>
      </c>
      <c r="S15" s="122">
        <f>IF(N($M15)=0,"",$O15/$M15-1)</f>
        <v/>
      </c>
      <c r="T15" s="122">
        <f>IF(N($L15)=0,"",$O15/$L15-1)</f>
        <v/>
      </c>
      <c r="U15" s="120">
        <f>IF($O15="","",$O15*$H15)</f>
        <v/>
      </c>
      <c r="V15" s="124">
        <f>IF($Q15="","",$Q15*$H15)</f>
        <v/>
      </c>
      <c r="W15" s="132" t="n"/>
      <c r="X15" s="133">
        <f>IF($O15="","",IFERROR(IF(설정!$C$27&lt;=1,ROUND(IF(설정!$C$26="원가 가산",$O15*(1+IF($W15="",설정!$C$28,$W15)),$O15/(1-IF($W15="",설정!$C$28,$W15))),0),CEILING(IF(설정!$C$26="원가 가산",$O15*(1+IF($W15="",설정!$C$28,$W15)),$O15/(1-IF($W15="",설정!$C$28,$W15))),설정!$C$27)),0))</f>
        <v/>
      </c>
    </row>
    <row r="16">
      <c r="B16" s="53" t="n"/>
      <c r="C16" s="75" t="n"/>
      <c r="D16" s="48" t="n"/>
      <c r="E16" s="48" t="n"/>
      <c r="F16" s="49" t="n"/>
      <c r="G16" s="134" t="n"/>
      <c r="H16" s="50" t="n"/>
      <c r="I16" s="119">
        <f>IF($D16="","",IF(OR($E16="USD",$E16="CNY"),IF(N($F16)=0,"",$F16*IF($E16="USD",설정!$C$11,설정!$C$12)*(1+IF($D16="수입",설정!$C$17,설정!$C$23))),IF(N($G16)=0,"",$G16*(1+IF($D16="수입",설정!$C$29,설정!$C$23)))))</f>
        <v/>
      </c>
      <c r="J16" s="135" t="n"/>
      <c r="K16" s="135" t="n"/>
      <c r="L16" s="120">
        <f>IF($I16="","",IFERROR(IF(설정!$C$26="원가 가산",$I16*(1+IF($J16="",설정!$C$24,$J16)),$I16/(1-IF($J16="",설정!$C$24,$J16))),0))</f>
        <v/>
      </c>
      <c r="M16" s="136">
        <f>IF($I16="","",IFERROR(IF(설정!$C$27&lt;=1,ROUND(IF(설정!$C$26="원가 가산",$L16*(1+IF($K16="",설정!$C$25,$K16)),$I16/(1-IF($J16="",설정!$C$24,$J16)-IF($K16="",설정!$C$25,$K16))),0),CEILING(IF(설정!$C$26="원가 가산",$L16*(1+IF($K16="",설정!$C$25,$K16)),$I16/(1-IF($J16="",설정!$C$24,$J16)-IF($K16="",설정!$C$25,$K16))),설정!$C$27)),0))</f>
        <v/>
      </c>
      <c r="N16" s="134" t="n"/>
      <c r="O16" s="120">
        <f>IF($M16="","",IF($N16="",$M16,$N16))</f>
        <v/>
      </c>
      <c r="P16" s="120">
        <f>IF($O16="","",IF(설정!$C$26="원가 가산",$I16*IF($J16="",설정!$C$24,$J16),$O16*IF($J16="",설정!$C$24,$J16)))</f>
        <v/>
      </c>
      <c r="Q16" s="120">
        <f>IF($O16="","",$O16-$I16-$P16)</f>
        <v/>
      </c>
      <c r="R16" s="122">
        <f>IF(N($O16)=0,"",$Q16/$O16)</f>
        <v/>
      </c>
      <c r="S16" s="122">
        <f>IF(N($M16)=0,"",$O16/$M16-1)</f>
        <v/>
      </c>
      <c r="T16" s="122">
        <f>IF(N($L16)=0,"",$O16/$L16-1)</f>
        <v/>
      </c>
      <c r="U16" s="120">
        <f>IF($O16="","",$O16*$H16)</f>
        <v/>
      </c>
      <c r="V16" s="124">
        <f>IF($Q16="","",$Q16*$H16)</f>
        <v/>
      </c>
      <c r="W16" s="132" t="n"/>
      <c r="X16" s="133">
        <f>IF($O16="","",IFERROR(IF(설정!$C$27&lt;=1,ROUND(IF(설정!$C$26="원가 가산",$O16*(1+IF($W16="",설정!$C$28,$W16)),$O16/(1-IF($W16="",설정!$C$28,$W16))),0),CEILING(IF(설정!$C$26="원가 가산",$O16*(1+IF($W16="",설정!$C$28,$W16)),$O16/(1-IF($W16="",설정!$C$28,$W16))),설정!$C$27)),0))</f>
        <v/>
      </c>
    </row>
    <row r="17">
      <c r="B17" s="53" t="n"/>
      <c r="C17" s="75" t="n"/>
      <c r="D17" s="48" t="n"/>
      <c r="E17" s="48" t="n"/>
      <c r="F17" s="49" t="n"/>
      <c r="G17" s="134" t="n"/>
      <c r="H17" s="50" t="n"/>
      <c r="I17" s="119">
        <f>IF($D17="","",IF(OR($E17="USD",$E17="CNY"),IF(N($F17)=0,"",$F17*IF($E17="USD",설정!$C$11,설정!$C$12)*(1+IF($D17="수입",설정!$C$17,설정!$C$23))),IF(N($G17)=0,"",$G17*(1+IF($D17="수입",설정!$C$29,설정!$C$23)))))</f>
        <v/>
      </c>
      <c r="J17" s="135" t="n"/>
      <c r="K17" s="135" t="n"/>
      <c r="L17" s="120">
        <f>IF($I17="","",IFERROR(IF(설정!$C$26="원가 가산",$I17*(1+IF($J17="",설정!$C$24,$J17)),$I17/(1-IF($J17="",설정!$C$24,$J17))),0))</f>
        <v/>
      </c>
      <c r="M17" s="136">
        <f>IF($I17="","",IFERROR(IF(설정!$C$27&lt;=1,ROUND(IF(설정!$C$26="원가 가산",$L17*(1+IF($K17="",설정!$C$25,$K17)),$I17/(1-IF($J17="",설정!$C$24,$J17)-IF($K17="",설정!$C$25,$K17))),0),CEILING(IF(설정!$C$26="원가 가산",$L17*(1+IF($K17="",설정!$C$25,$K17)),$I17/(1-IF($J17="",설정!$C$24,$J17)-IF($K17="",설정!$C$25,$K17))),설정!$C$27)),0))</f>
        <v/>
      </c>
      <c r="N17" s="134" t="n"/>
      <c r="O17" s="120">
        <f>IF($M17="","",IF($N17="",$M17,$N17))</f>
        <v/>
      </c>
      <c r="P17" s="120">
        <f>IF($O17="","",IF(설정!$C$26="원가 가산",$I17*IF($J17="",설정!$C$24,$J17),$O17*IF($J17="",설정!$C$24,$J17)))</f>
        <v/>
      </c>
      <c r="Q17" s="120">
        <f>IF($O17="","",$O17-$I17-$P17)</f>
        <v/>
      </c>
      <c r="R17" s="122">
        <f>IF(N($O17)=0,"",$Q17/$O17)</f>
        <v/>
      </c>
      <c r="S17" s="122">
        <f>IF(N($M17)=0,"",$O17/$M17-1)</f>
        <v/>
      </c>
      <c r="T17" s="122">
        <f>IF(N($L17)=0,"",$O17/$L17-1)</f>
        <v/>
      </c>
      <c r="U17" s="120">
        <f>IF($O17="","",$O17*$H17)</f>
        <v/>
      </c>
      <c r="V17" s="124">
        <f>IF($Q17="","",$Q17*$H17)</f>
        <v/>
      </c>
      <c r="W17" s="132" t="n"/>
      <c r="X17" s="133">
        <f>IF($O17="","",IFERROR(IF(설정!$C$27&lt;=1,ROUND(IF(설정!$C$26="원가 가산",$O17*(1+IF($W17="",설정!$C$28,$W17)),$O17/(1-IF($W17="",설정!$C$28,$W17))),0),CEILING(IF(설정!$C$26="원가 가산",$O17*(1+IF($W17="",설정!$C$28,$W17)),$O17/(1-IF($W17="",설정!$C$28,$W17))),설정!$C$27)),0))</f>
        <v/>
      </c>
    </row>
    <row r="18">
      <c r="B18" s="53" t="n"/>
      <c r="C18" s="75" t="n"/>
      <c r="D18" s="48" t="n"/>
      <c r="E18" s="48" t="n"/>
      <c r="F18" s="49" t="n"/>
      <c r="G18" s="134" t="n"/>
      <c r="H18" s="50" t="n"/>
      <c r="I18" s="119">
        <f>IF($D18="","",IF(OR($E18="USD",$E18="CNY"),IF(N($F18)=0,"",$F18*IF($E18="USD",설정!$C$11,설정!$C$12)*(1+IF($D18="수입",설정!$C$17,설정!$C$23))),IF(N($G18)=0,"",$G18*(1+IF($D18="수입",설정!$C$29,설정!$C$23)))))</f>
        <v/>
      </c>
      <c r="J18" s="135" t="n"/>
      <c r="K18" s="135" t="n"/>
      <c r="L18" s="120">
        <f>IF($I18="","",IFERROR(IF(설정!$C$26="원가 가산",$I18*(1+IF($J18="",설정!$C$24,$J18)),$I18/(1-IF($J18="",설정!$C$24,$J18))),0))</f>
        <v/>
      </c>
      <c r="M18" s="136">
        <f>IF($I18="","",IFERROR(IF(설정!$C$27&lt;=1,ROUND(IF(설정!$C$26="원가 가산",$L18*(1+IF($K18="",설정!$C$25,$K18)),$I18/(1-IF($J18="",설정!$C$24,$J18)-IF($K18="",설정!$C$25,$K18))),0),CEILING(IF(설정!$C$26="원가 가산",$L18*(1+IF($K18="",설정!$C$25,$K18)),$I18/(1-IF($J18="",설정!$C$24,$J18)-IF($K18="",설정!$C$25,$K18))),설정!$C$27)),0))</f>
        <v/>
      </c>
      <c r="N18" s="134" t="n"/>
      <c r="O18" s="120">
        <f>IF($M18="","",IF($N18="",$M18,$N18))</f>
        <v/>
      </c>
      <c r="P18" s="120">
        <f>IF($O18="","",IF(설정!$C$26="원가 가산",$I18*IF($J18="",설정!$C$24,$J18),$O18*IF($J18="",설정!$C$24,$J18)))</f>
        <v/>
      </c>
      <c r="Q18" s="120">
        <f>IF($O18="","",$O18-$I18-$P18)</f>
        <v/>
      </c>
      <c r="R18" s="122">
        <f>IF(N($O18)=0,"",$Q18/$O18)</f>
        <v/>
      </c>
      <c r="S18" s="122">
        <f>IF(N($M18)=0,"",$O18/$M18-1)</f>
        <v/>
      </c>
      <c r="T18" s="122">
        <f>IF(N($L18)=0,"",$O18/$L18-1)</f>
        <v/>
      </c>
      <c r="U18" s="120">
        <f>IF($O18="","",$O18*$H18)</f>
        <v/>
      </c>
      <c r="V18" s="124">
        <f>IF($Q18="","",$Q18*$H18)</f>
        <v/>
      </c>
      <c r="W18" s="132" t="n"/>
      <c r="X18" s="133">
        <f>IF($O18="","",IFERROR(IF(설정!$C$27&lt;=1,ROUND(IF(설정!$C$26="원가 가산",$O18*(1+IF($W18="",설정!$C$28,$W18)),$O18/(1-IF($W18="",설정!$C$28,$W18))),0),CEILING(IF(설정!$C$26="원가 가산",$O18*(1+IF($W18="",설정!$C$28,$W18)),$O18/(1-IF($W18="",설정!$C$28,$W18))),설정!$C$27)),0))</f>
        <v/>
      </c>
    </row>
    <row r="19">
      <c r="B19" s="53" t="n"/>
      <c r="C19" s="75" t="n"/>
      <c r="D19" s="48" t="n"/>
      <c r="E19" s="48" t="n"/>
      <c r="F19" s="49" t="n"/>
      <c r="G19" s="134" t="n"/>
      <c r="H19" s="50" t="n"/>
      <c r="I19" s="119">
        <f>IF($D19="","",IF(OR($E19="USD",$E19="CNY"),IF(N($F19)=0,"",$F19*IF($E19="USD",설정!$C$11,설정!$C$12)*(1+IF($D19="수입",설정!$C$17,설정!$C$23))),IF(N($G19)=0,"",$G19*(1+IF($D19="수입",설정!$C$29,설정!$C$23)))))</f>
        <v/>
      </c>
      <c r="J19" s="135" t="n"/>
      <c r="K19" s="135" t="n"/>
      <c r="L19" s="120">
        <f>IF($I19="","",IFERROR(IF(설정!$C$26="원가 가산",$I19*(1+IF($J19="",설정!$C$24,$J19)),$I19/(1-IF($J19="",설정!$C$24,$J19))),0))</f>
        <v/>
      </c>
      <c r="M19" s="136">
        <f>IF($I19="","",IFERROR(IF(설정!$C$27&lt;=1,ROUND(IF(설정!$C$26="원가 가산",$L19*(1+IF($K19="",설정!$C$25,$K19)),$I19/(1-IF($J19="",설정!$C$24,$J19)-IF($K19="",설정!$C$25,$K19))),0),CEILING(IF(설정!$C$26="원가 가산",$L19*(1+IF($K19="",설정!$C$25,$K19)),$I19/(1-IF($J19="",설정!$C$24,$J19)-IF($K19="",설정!$C$25,$K19))),설정!$C$27)),0))</f>
        <v/>
      </c>
      <c r="N19" s="134" t="n"/>
      <c r="O19" s="120">
        <f>IF($M19="","",IF($N19="",$M19,$N19))</f>
        <v/>
      </c>
      <c r="P19" s="120">
        <f>IF($O19="","",IF(설정!$C$26="원가 가산",$I19*IF($J19="",설정!$C$24,$J19),$O19*IF($J19="",설정!$C$24,$J19)))</f>
        <v/>
      </c>
      <c r="Q19" s="120">
        <f>IF($O19="","",$O19-$I19-$P19)</f>
        <v/>
      </c>
      <c r="R19" s="122">
        <f>IF(N($O19)=0,"",$Q19/$O19)</f>
        <v/>
      </c>
      <c r="S19" s="122">
        <f>IF(N($M19)=0,"",$O19/$M19-1)</f>
        <v/>
      </c>
      <c r="T19" s="122">
        <f>IF(N($L19)=0,"",$O19/$L19-1)</f>
        <v/>
      </c>
      <c r="U19" s="120">
        <f>IF($O19="","",$O19*$H19)</f>
        <v/>
      </c>
      <c r="V19" s="124">
        <f>IF($Q19="","",$Q19*$H19)</f>
        <v/>
      </c>
      <c r="W19" s="132" t="n"/>
      <c r="X19" s="133">
        <f>IF($O19="","",IFERROR(IF(설정!$C$27&lt;=1,ROUND(IF(설정!$C$26="원가 가산",$O19*(1+IF($W19="",설정!$C$28,$W19)),$O19/(1-IF($W19="",설정!$C$28,$W19))),0),CEILING(IF(설정!$C$26="원가 가산",$O19*(1+IF($W19="",설정!$C$28,$W19)),$O19/(1-IF($W19="",설정!$C$28,$W19))),설정!$C$27)),0))</f>
        <v/>
      </c>
    </row>
    <row r="20">
      <c r="B20" s="53" t="n"/>
      <c r="C20" s="75" t="n"/>
      <c r="D20" s="48" t="n"/>
      <c r="E20" s="48" t="n"/>
      <c r="F20" s="49" t="n"/>
      <c r="G20" s="134" t="n"/>
      <c r="H20" s="50" t="n"/>
      <c r="I20" s="119">
        <f>IF($D20="","",IF(OR($E20="USD",$E20="CNY"),IF(N($F20)=0,"",$F20*IF($E20="USD",설정!$C$11,설정!$C$12)*(1+IF($D20="수입",설정!$C$17,설정!$C$23))),IF(N($G20)=0,"",$G20*(1+IF($D20="수입",설정!$C$29,설정!$C$23)))))</f>
        <v/>
      </c>
      <c r="J20" s="135" t="n"/>
      <c r="K20" s="135" t="n"/>
      <c r="L20" s="120">
        <f>IF($I20="","",IFERROR(IF(설정!$C$26="원가 가산",$I20*(1+IF($J20="",설정!$C$24,$J20)),$I20/(1-IF($J20="",설정!$C$24,$J20))),0))</f>
        <v/>
      </c>
      <c r="M20" s="136">
        <f>IF($I20="","",IFERROR(IF(설정!$C$27&lt;=1,ROUND(IF(설정!$C$26="원가 가산",$L20*(1+IF($K20="",설정!$C$25,$K20)),$I20/(1-IF($J20="",설정!$C$24,$J20)-IF($K20="",설정!$C$25,$K20))),0),CEILING(IF(설정!$C$26="원가 가산",$L20*(1+IF($K20="",설정!$C$25,$K20)),$I20/(1-IF($J20="",설정!$C$24,$J20)-IF($K20="",설정!$C$25,$K20))),설정!$C$27)),0))</f>
        <v/>
      </c>
      <c r="N20" s="134" t="n"/>
      <c r="O20" s="120">
        <f>IF($M20="","",IF($N20="",$M20,$N20))</f>
        <v/>
      </c>
      <c r="P20" s="120">
        <f>IF($O20="","",IF(설정!$C$26="원가 가산",$I20*IF($J20="",설정!$C$24,$J20),$O20*IF($J20="",설정!$C$24,$J20)))</f>
        <v/>
      </c>
      <c r="Q20" s="120">
        <f>IF($O20="","",$O20-$I20-$P20)</f>
        <v/>
      </c>
      <c r="R20" s="122">
        <f>IF(N($O20)=0,"",$Q20/$O20)</f>
        <v/>
      </c>
      <c r="S20" s="122">
        <f>IF(N($M20)=0,"",$O20/$M20-1)</f>
        <v/>
      </c>
      <c r="T20" s="122">
        <f>IF(N($L20)=0,"",$O20/$L20-1)</f>
        <v/>
      </c>
      <c r="U20" s="120">
        <f>IF($O20="","",$O20*$H20)</f>
        <v/>
      </c>
      <c r="V20" s="124">
        <f>IF($Q20="","",$Q20*$H20)</f>
        <v/>
      </c>
      <c r="W20" s="132" t="n"/>
      <c r="X20" s="133">
        <f>IF($O20="","",IFERROR(IF(설정!$C$27&lt;=1,ROUND(IF(설정!$C$26="원가 가산",$O20*(1+IF($W20="",설정!$C$28,$W20)),$O20/(1-IF($W20="",설정!$C$28,$W20))),0),CEILING(IF(설정!$C$26="원가 가산",$O20*(1+IF($W20="",설정!$C$28,$W20)),$O20/(1-IF($W20="",설정!$C$28,$W20))),설정!$C$27)),0))</f>
        <v/>
      </c>
    </row>
    <row r="21">
      <c r="B21" s="53" t="n"/>
      <c r="C21" s="75" t="n"/>
      <c r="D21" s="48" t="n"/>
      <c r="E21" s="48" t="n"/>
      <c r="F21" s="49" t="n"/>
      <c r="G21" s="134" t="n"/>
      <c r="H21" s="50" t="n"/>
      <c r="I21" s="119">
        <f>IF($D21="","",IF(OR($E21="USD",$E21="CNY"),IF(N($F21)=0,"",$F21*IF($E21="USD",설정!$C$11,설정!$C$12)*(1+IF($D21="수입",설정!$C$17,설정!$C$23))),IF(N($G21)=0,"",$G21*(1+IF($D21="수입",설정!$C$29,설정!$C$23)))))</f>
        <v/>
      </c>
      <c r="J21" s="135" t="n"/>
      <c r="K21" s="135" t="n"/>
      <c r="L21" s="120">
        <f>IF($I21="","",IFERROR(IF(설정!$C$26="원가 가산",$I21*(1+IF($J21="",설정!$C$24,$J21)),$I21/(1-IF($J21="",설정!$C$24,$J21))),0))</f>
        <v/>
      </c>
      <c r="M21" s="136">
        <f>IF($I21="","",IFERROR(IF(설정!$C$27&lt;=1,ROUND(IF(설정!$C$26="원가 가산",$L21*(1+IF($K21="",설정!$C$25,$K21)),$I21/(1-IF($J21="",설정!$C$24,$J21)-IF($K21="",설정!$C$25,$K21))),0),CEILING(IF(설정!$C$26="원가 가산",$L21*(1+IF($K21="",설정!$C$25,$K21)),$I21/(1-IF($J21="",설정!$C$24,$J21)-IF($K21="",설정!$C$25,$K21))),설정!$C$27)),0))</f>
        <v/>
      </c>
      <c r="N21" s="134" t="n"/>
      <c r="O21" s="120">
        <f>IF($M21="","",IF($N21="",$M21,$N21))</f>
        <v/>
      </c>
      <c r="P21" s="120">
        <f>IF($O21="","",IF(설정!$C$26="원가 가산",$I21*IF($J21="",설정!$C$24,$J21),$O21*IF($J21="",설정!$C$24,$J21)))</f>
        <v/>
      </c>
      <c r="Q21" s="120">
        <f>IF($O21="","",$O21-$I21-$P21)</f>
        <v/>
      </c>
      <c r="R21" s="122">
        <f>IF(N($O21)=0,"",$Q21/$O21)</f>
        <v/>
      </c>
      <c r="S21" s="122">
        <f>IF(N($M21)=0,"",$O21/$M21-1)</f>
        <v/>
      </c>
      <c r="T21" s="122">
        <f>IF(N($L21)=0,"",$O21/$L21-1)</f>
        <v/>
      </c>
      <c r="U21" s="120">
        <f>IF($O21="","",$O21*$H21)</f>
        <v/>
      </c>
      <c r="V21" s="124">
        <f>IF($Q21="","",$Q21*$H21)</f>
        <v/>
      </c>
      <c r="W21" s="132" t="n"/>
      <c r="X21" s="133">
        <f>IF($O21="","",IFERROR(IF(설정!$C$27&lt;=1,ROUND(IF(설정!$C$26="원가 가산",$O21*(1+IF($W21="",설정!$C$28,$W21)),$O21/(1-IF($W21="",설정!$C$28,$W21))),0),CEILING(IF(설정!$C$26="원가 가산",$O21*(1+IF($W21="",설정!$C$28,$W21)),$O21/(1-IF($W21="",설정!$C$28,$W21))),설정!$C$27)),0))</f>
        <v/>
      </c>
    </row>
    <row r="22">
      <c r="B22" s="53" t="n"/>
      <c r="C22" s="75" t="n"/>
      <c r="D22" s="48" t="n"/>
      <c r="E22" s="48" t="n"/>
      <c r="F22" s="49" t="n"/>
      <c r="G22" s="134" t="n"/>
      <c r="H22" s="50" t="n"/>
      <c r="I22" s="119">
        <f>IF($D22="","",IF(OR($E22="USD",$E22="CNY"),IF(N($F22)=0,"",$F22*IF($E22="USD",설정!$C$11,설정!$C$12)*(1+IF($D22="수입",설정!$C$17,설정!$C$23))),IF(N($G22)=0,"",$G22*(1+IF($D22="수입",설정!$C$29,설정!$C$23)))))</f>
        <v/>
      </c>
      <c r="J22" s="135" t="n"/>
      <c r="K22" s="135" t="n"/>
      <c r="L22" s="120">
        <f>IF($I22="","",IFERROR(IF(설정!$C$26="원가 가산",$I22*(1+IF($J22="",설정!$C$24,$J22)),$I22/(1-IF($J22="",설정!$C$24,$J22))),0))</f>
        <v/>
      </c>
      <c r="M22" s="136">
        <f>IF($I22="","",IFERROR(IF(설정!$C$27&lt;=1,ROUND(IF(설정!$C$26="원가 가산",$L22*(1+IF($K22="",설정!$C$25,$K22)),$I22/(1-IF($J22="",설정!$C$24,$J22)-IF($K22="",설정!$C$25,$K22))),0),CEILING(IF(설정!$C$26="원가 가산",$L22*(1+IF($K22="",설정!$C$25,$K22)),$I22/(1-IF($J22="",설정!$C$24,$J22)-IF($K22="",설정!$C$25,$K22))),설정!$C$27)),0))</f>
        <v/>
      </c>
      <c r="N22" s="134" t="n"/>
      <c r="O22" s="120">
        <f>IF($M22="","",IF($N22="",$M22,$N22))</f>
        <v/>
      </c>
      <c r="P22" s="120">
        <f>IF($O22="","",IF(설정!$C$26="원가 가산",$I22*IF($J22="",설정!$C$24,$J22),$O22*IF($J22="",설정!$C$24,$J22)))</f>
        <v/>
      </c>
      <c r="Q22" s="120">
        <f>IF($O22="","",$O22-$I22-$P22)</f>
        <v/>
      </c>
      <c r="R22" s="122">
        <f>IF(N($O22)=0,"",$Q22/$O22)</f>
        <v/>
      </c>
      <c r="S22" s="122">
        <f>IF(N($M22)=0,"",$O22/$M22-1)</f>
        <v/>
      </c>
      <c r="T22" s="122">
        <f>IF(N($L22)=0,"",$O22/$L22-1)</f>
        <v/>
      </c>
      <c r="U22" s="120">
        <f>IF($O22="","",$O22*$H22)</f>
        <v/>
      </c>
      <c r="V22" s="124">
        <f>IF($Q22="","",$Q22*$H22)</f>
        <v/>
      </c>
      <c r="W22" s="132" t="n"/>
      <c r="X22" s="133">
        <f>IF($O22="","",IFERROR(IF(설정!$C$27&lt;=1,ROUND(IF(설정!$C$26="원가 가산",$O22*(1+IF($W22="",설정!$C$28,$W22)),$O22/(1-IF($W22="",설정!$C$28,$W22))),0),CEILING(IF(설정!$C$26="원가 가산",$O22*(1+IF($W22="",설정!$C$28,$W22)),$O22/(1-IF($W22="",설정!$C$28,$W22))),설정!$C$27)),0))</f>
        <v/>
      </c>
    </row>
    <row r="23">
      <c r="B23" s="53" t="n"/>
      <c r="C23" s="75" t="n"/>
      <c r="D23" s="48" t="n"/>
      <c r="E23" s="48" t="n"/>
      <c r="F23" s="49" t="n"/>
      <c r="G23" s="134" t="n"/>
      <c r="H23" s="50" t="n"/>
      <c r="I23" s="119">
        <f>IF($D23="","",IF(OR($E23="USD",$E23="CNY"),IF(N($F23)=0,"",$F23*IF($E23="USD",설정!$C$11,설정!$C$12)*(1+IF($D23="수입",설정!$C$17,설정!$C$23))),IF(N($G23)=0,"",$G23*(1+IF($D23="수입",설정!$C$29,설정!$C$23)))))</f>
        <v/>
      </c>
      <c r="J23" s="135" t="n"/>
      <c r="K23" s="135" t="n"/>
      <c r="L23" s="120">
        <f>IF($I23="","",IFERROR(IF(설정!$C$26="원가 가산",$I23*(1+IF($J23="",설정!$C$24,$J23)),$I23/(1-IF($J23="",설정!$C$24,$J23))),0))</f>
        <v/>
      </c>
      <c r="M23" s="136">
        <f>IF($I23="","",IFERROR(IF(설정!$C$27&lt;=1,ROUND(IF(설정!$C$26="원가 가산",$L23*(1+IF($K23="",설정!$C$25,$K23)),$I23/(1-IF($J23="",설정!$C$24,$J23)-IF($K23="",설정!$C$25,$K23))),0),CEILING(IF(설정!$C$26="원가 가산",$L23*(1+IF($K23="",설정!$C$25,$K23)),$I23/(1-IF($J23="",설정!$C$24,$J23)-IF($K23="",설정!$C$25,$K23))),설정!$C$27)),0))</f>
        <v/>
      </c>
      <c r="N23" s="134" t="n"/>
      <c r="O23" s="120">
        <f>IF($M23="","",IF($N23="",$M23,$N23))</f>
        <v/>
      </c>
      <c r="P23" s="120">
        <f>IF($O23="","",IF(설정!$C$26="원가 가산",$I23*IF($J23="",설정!$C$24,$J23),$O23*IF($J23="",설정!$C$24,$J23)))</f>
        <v/>
      </c>
      <c r="Q23" s="120">
        <f>IF($O23="","",$O23-$I23-$P23)</f>
        <v/>
      </c>
      <c r="R23" s="122">
        <f>IF(N($O23)=0,"",$Q23/$O23)</f>
        <v/>
      </c>
      <c r="S23" s="122">
        <f>IF(N($M23)=0,"",$O23/$M23-1)</f>
        <v/>
      </c>
      <c r="T23" s="122">
        <f>IF(N($L23)=0,"",$O23/$L23-1)</f>
        <v/>
      </c>
      <c r="U23" s="120">
        <f>IF($O23="","",$O23*$H23)</f>
        <v/>
      </c>
      <c r="V23" s="124">
        <f>IF($Q23="","",$Q23*$H23)</f>
        <v/>
      </c>
      <c r="W23" s="132" t="n"/>
      <c r="X23" s="133">
        <f>IF($O23="","",IFERROR(IF(설정!$C$27&lt;=1,ROUND(IF(설정!$C$26="원가 가산",$O23*(1+IF($W23="",설정!$C$28,$W23)),$O23/(1-IF($W23="",설정!$C$28,$W23))),0),CEILING(IF(설정!$C$26="원가 가산",$O23*(1+IF($W23="",설정!$C$28,$W23)),$O23/(1-IF($W23="",설정!$C$28,$W23))),설정!$C$27)),0))</f>
        <v/>
      </c>
    </row>
    <row r="24">
      <c r="B24" s="53" t="n"/>
      <c r="C24" s="75" t="n"/>
      <c r="D24" s="48" t="n"/>
      <c r="E24" s="48" t="n"/>
      <c r="F24" s="49" t="n"/>
      <c r="G24" s="134" t="n"/>
      <c r="H24" s="50" t="n"/>
      <c r="I24" s="119">
        <f>IF($D24="","",IF(OR($E24="USD",$E24="CNY"),IF(N($F24)=0,"",$F24*IF($E24="USD",설정!$C$11,설정!$C$12)*(1+IF($D24="수입",설정!$C$17,설정!$C$23))),IF(N($G24)=0,"",$G24*(1+IF($D24="수입",설정!$C$29,설정!$C$23)))))</f>
        <v/>
      </c>
      <c r="J24" s="135" t="n"/>
      <c r="K24" s="135" t="n"/>
      <c r="L24" s="120">
        <f>IF($I24="","",IFERROR(IF(설정!$C$26="원가 가산",$I24*(1+IF($J24="",설정!$C$24,$J24)),$I24/(1-IF($J24="",설정!$C$24,$J24))),0))</f>
        <v/>
      </c>
      <c r="M24" s="136">
        <f>IF($I24="","",IFERROR(IF(설정!$C$27&lt;=1,ROUND(IF(설정!$C$26="원가 가산",$L24*(1+IF($K24="",설정!$C$25,$K24)),$I24/(1-IF($J24="",설정!$C$24,$J24)-IF($K24="",설정!$C$25,$K24))),0),CEILING(IF(설정!$C$26="원가 가산",$L24*(1+IF($K24="",설정!$C$25,$K24)),$I24/(1-IF($J24="",설정!$C$24,$J24)-IF($K24="",설정!$C$25,$K24))),설정!$C$27)),0))</f>
        <v/>
      </c>
      <c r="N24" s="134" t="n"/>
      <c r="O24" s="120">
        <f>IF($M24="","",IF($N24="",$M24,$N24))</f>
        <v/>
      </c>
      <c r="P24" s="120">
        <f>IF($O24="","",IF(설정!$C$26="원가 가산",$I24*IF($J24="",설정!$C$24,$J24),$O24*IF($J24="",설정!$C$24,$J24)))</f>
        <v/>
      </c>
      <c r="Q24" s="120">
        <f>IF($O24="","",$O24-$I24-$P24)</f>
        <v/>
      </c>
      <c r="R24" s="122">
        <f>IF(N($O24)=0,"",$Q24/$O24)</f>
        <v/>
      </c>
      <c r="S24" s="122">
        <f>IF(N($M24)=0,"",$O24/$M24-1)</f>
        <v/>
      </c>
      <c r="T24" s="122">
        <f>IF(N($L24)=0,"",$O24/$L24-1)</f>
        <v/>
      </c>
      <c r="U24" s="120">
        <f>IF($O24="","",$O24*$H24)</f>
        <v/>
      </c>
      <c r="V24" s="124">
        <f>IF($Q24="","",$Q24*$H24)</f>
        <v/>
      </c>
      <c r="W24" s="132" t="n"/>
      <c r="X24" s="133">
        <f>IF($O24="","",IFERROR(IF(설정!$C$27&lt;=1,ROUND(IF(설정!$C$26="원가 가산",$O24*(1+IF($W24="",설정!$C$28,$W24)),$O24/(1-IF($W24="",설정!$C$28,$W24))),0),CEILING(IF(설정!$C$26="원가 가산",$O24*(1+IF($W24="",설정!$C$28,$W24)),$O24/(1-IF($W24="",설정!$C$28,$W24))),설정!$C$27)),0))</f>
        <v/>
      </c>
    </row>
    <row r="25">
      <c r="B25" s="53" t="n"/>
      <c r="C25" s="75" t="n"/>
      <c r="D25" s="48" t="n"/>
      <c r="E25" s="48" t="n"/>
      <c r="F25" s="49" t="n"/>
      <c r="G25" s="134" t="n"/>
      <c r="H25" s="50" t="n"/>
      <c r="I25" s="119">
        <f>IF($D25="","",IF(OR($E25="USD",$E25="CNY"),IF(N($F25)=0,"",$F25*IF($E25="USD",설정!$C$11,설정!$C$12)*(1+IF($D25="수입",설정!$C$17,설정!$C$23))),IF(N($G25)=0,"",$G25*(1+IF($D25="수입",설정!$C$29,설정!$C$23)))))</f>
        <v/>
      </c>
      <c r="J25" s="135" t="n"/>
      <c r="K25" s="135" t="n"/>
      <c r="L25" s="120">
        <f>IF($I25="","",IFERROR(IF(설정!$C$26="원가 가산",$I25*(1+IF($J25="",설정!$C$24,$J25)),$I25/(1-IF($J25="",설정!$C$24,$J25))),0))</f>
        <v/>
      </c>
      <c r="M25" s="136">
        <f>IF($I25="","",IFERROR(IF(설정!$C$27&lt;=1,ROUND(IF(설정!$C$26="원가 가산",$L25*(1+IF($K25="",설정!$C$25,$K25)),$I25/(1-IF($J25="",설정!$C$24,$J25)-IF($K25="",설정!$C$25,$K25))),0),CEILING(IF(설정!$C$26="원가 가산",$L25*(1+IF($K25="",설정!$C$25,$K25)),$I25/(1-IF($J25="",설정!$C$24,$J25)-IF($K25="",설정!$C$25,$K25))),설정!$C$27)),0))</f>
        <v/>
      </c>
      <c r="N25" s="134" t="n"/>
      <c r="O25" s="120">
        <f>IF($M25="","",IF($N25="",$M25,$N25))</f>
        <v/>
      </c>
      <c r="P25" s="120">
        <f>IF($O25="","",IF(설정!$C$26="원가 가산",$I25*IF($J25="",설정!$C$24,$J25),$O25*IF($J25="",설정!$C$24,$J25)))</f>
        <v/>
      </c>
      <c r="Q25" s="120">
        <f>IF($O25="","",$O25-$I25-$P25)</f>
        <v/>
      </c>
      <c r="R25" s="122">
        <f>IF(N($O25)=0,"",$Q25/$O25)</f>
        <v/>
      </c>
      <c r="S25" s="122">
        <f>IF(N($M25)=0,"",$O25/$M25-1)</f>
        <v/>
      </c>
      <c r="T25" s="122">
        <f>IF(N($L25)=0,"",$O25/$L25-1)</f>
        <v/>
      </c>
      <c r="U25" s="120">
        <f>IF($O25="","",$O25*$H25)</f>
        <v/>
      </c>
      <c r="V25" s="124">
        <f>IF($Q25="","",$Q25*$H25)</f>
        <v/>
      </c>
      <c r="W25" s="132" t="n"/>
      <c r="X25" s="133">
        <f>IF($O25="","",IFERROR(IF(설정!$C$27&lt;=1,ROUND(IF(설정!$C$26="원가 가산",$O25*(1+IF($W25="",설정!$C$28,$W25)),$O25/(1-IF($W25="",설정!$C$28,$W25))),0),CEILING(IF(설정!$C$26="원가 가산",$O25*(1+IF($W25="",설정!$C$28,$W25)),$O25/(1-IF($W25="",설정!$C$28,$W25))),설정!$C$27)),0))</f>
        <v/>
      </c>
    </row>
    <row r="26" ht="18" customHeight="1" thickBot="1">
      <c r="B26" s="55" t="inlineStr">
        <is>
          <t>합계</t>
        </is>
      </c>
      <c r="C26" s="76" t="n"/>
      <c r="D26" s="56" t="n"/>
      <c r="E26" s="56" t="n"/>
      <c r="F26" s="56" t="n"/>
      <c r="G26" s="56" t="n"/>
      <c r="H26" s="57">
        <f>SUM(H6:H25)</f>
        <v/>
      </c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126">
        <f>IFERROR(SUM(V6:V25)/SUM(U6:U25),0)</f>
        <v/>
      </c>
      <c r="S26" s="56" t="n"/>
      <c r="T26" s="56" t="n"/>
      <c r="U26" s="125">
        <f>SUM(U6:U25)</f>
        <v/>
      </c>
      <c r="V26" s="127">
        <f>SUM(V6:V25)</f>
        <v/>
      </c>
      <c r="W26" s="137" t="n"/>
      <c r="X26" s="137" t="n"/>
    </row>
    <row r="28">
      <c r="B28" s="138" t="inlineStr">
        <is>
          <t>① 금액은 통화가 정합니다 — USD·CNY면 F열(외화 단가), KRW면 G열(원화 매입단가)에 넣으세요.</t>
        </is>
      </c>
      <c r="C28" s="4" t="n"/>
    </row>
    <row r="29">
      <c r="B29" s="138" t="inlineStr">
        <is>
          <t>② 부대비용률은 세 갈래입니다 — 수입+외화는 설정 C17, 수입+KRW(에이전트)는 설정 C29, 국내는 설정 C23.</t>
        </is>
      </c>
      <c r="C29" s="4" t="n"/>
    </row>
    <row r="30">
      <c r="B30" s="138" t="inlineStr">
        <is>
          <t>③ J·K열을 비워 두면 설정 시트의 기본 판관비율·영업이익률이 적용됩니다.</t>
        </is>
      </c>
      <c r="C30" s="4" t="n"/>
    </row>
    <row r="31">
      <c r="B31" s="138" t="inlineStr">
        <is>
          <t>④ M열 기준 유통가를 영업에 전달하고, 영업이 정한 값을 N열(노란 칸)에 적습니다. 비워 두면 기준가가 그대로 적용됩니다.</t>
        </is>
      </c>
      <c r="C31" s="3" t="n"/>
    </row>
    <row r="32">
      <c r="B32" s="139" t="inlineStr">
        <is>
          <t>⑤ 최종 유통가가 BEP 가격보다 낮으면 N열이 빨갛게 표시됩니다 — 팔수록 손해라는 뜻입니다.</t>
        </is>
      </c>
      <c r="C32" s="3" t="n"/>
    </row>
    <row r="33">
      <c r="B33" s="138" t="inlineStr">
        <is>
          <t>⑥ 소비자 판매가(X열)는 적용가에 소비자 마진율을 얹은 값입니다. W열을 비우면 설정 C28의 기본값이 쓰입니다.</t>
        </is>
      </c>
      <c r="C33" s="4" t="n"/>
    </row>
    <row r="34">
      <c r="B34" s="138" t="inlineStr">
        <is>
          <t>표시 금액은 모두 부가세 별도입니다.</t>
        </is>
      </c>
    </row>
  </sheetData>
  <conditionalFormatting sqref="N6:N25">
    <cfRule type="expression" priority="1" dxfId="0">
      <formula>AND(N($N6)&gt;0,N($L6)&gt;0,$N6&lt;$L6)</formula>
    </cfRule>
  </conditionalFormatting>
  <conditionalFormatting sqref="S6:S25">
    <cfRule type="expression" priority="2" dxfId="1">
      <formula>AND(N($O6)&gt;0,$O6&lt;$M6)</formula>
    </cfRule>
  </conditionalFormatting>
  <dataValidations count="2">
    <dataValidation sqref="D6:D25" showDropDown="0" showInputMessage="0" showErrorMessage="0" allowBlank="1" type="list">
      <formula1>"수입,국내"</formula1>
    </dataValidation>
    <dataValidation sqref="E6:E25" showDropDown="0" showInputMessage="0" showErrorMessage="0" allowBlank="1" type="list">
      <formula1>"USD,CNY,KRW"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W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8" customWidth="1" min="7" max="7"/>
    <col width="12" customWidth="1" min="8" max="8"/>
    <col width="9" customWidth="1" min="9" max="9"/>
    <col width="9" customWidth="1" min="10" max="10"/>
    <col width="12" customWidth="1" min="11" max="11"/>
    <col width="12" customWidth="1" min="12" max="12"/>
    <col width="13" customWidth="1" min="13" max="13"/>
    <col width="12" customWidth="1" min="14" max="14"/>
    <col width="11" customWidth="1" min="15" max="15"/>
    <col width="12" customWidth="1" min="16" max="16"/>
    <col width="10" customWidth="1" min="17" max="17"/>
    <col width="10" customWidth="1" min="18" max="18"/>
    <col width="10" customWidth="1" min="19" max="19"/>
    <col width="9" customWidth="1" min="20" max="20"/>
    <col width="13" customWidth="1" min="21" max="21"/>
    <col width="15" customWidth="1" min="22" max="22"/>
    <col width="15" customWidth="1" min="23" max="23"/>
  </cols>
  <sheetData>
    <row r="2">
      <c r="B2" s="170" t="inlineStr">
        <is>
          <t>태성 재판매가 산출 — 플로우텍 공급가를 원가로</t>
        </is>
      </c>
    </row>
    <row r="3">
      <c r="B3" s="162">
        <f>"태성 입고가(= 플로우텍 판매단가) → 추가비용 "&amp;TEXT(설정!$C$32,"0.0%")&amp;" → 판관비 "&amp;TEXT(설정!$C$33,"0.0%")&amp;" → BEP 가격 → 영업이익 "&amp;TEXT(설정!$C$34,"0.0%")&amp;" → 기준 판매가 → (영업) 최종 판매가   ·   "&amp;설정!$C$26&amp;" 방식"</f>
        <v/>
      </c>
    </row>
    <row r="5" ht="34" customHeight="1">
      <c r="B5" s="128" t="inlineStr">
        <is>
          <t>품목</t>
        </is>
      </c>
      <c r="C5" s="128" t="inlineStr">
        <is>
          <t>품목코드</t>
        </is>
      </c>
      <c r="D5" s="128" t="inlineStr">
        <is>
          <t>조회 입고가</t>
        </is>
      </c>
      <c r="E5" s="128" t="inlineStr">
        <is>
          <t>입고가
직접 입력</t>
        </is>
      </c>
      <c r="F5" s="128" t="inlineStr">
        <is>
          <t>적용 입고가</t>
        </is>
      </c>
      <c r="G5" s="128" t="inlineStr">
        <is>
          <t>수량</t>
        </is>
      </c>
      <c r="H5" s="128" t="inlineStr">
        <is>
          <t>매입원가
/개</t>
        </is>
      </c>
      <c r="I5" s="128" t="inlineStr">
        <is>
          <t>판관비율</t>
        </is>
      </c>
      <c r="J5" s="128" t="inlineStr">
        <is>
          <t>영업이익률</t>
        </is>
      </c>
      <c r="K5" s="128" t="inlineStr">
        <is>
          <t>BEP 가격</t>
        </is>
      </c>
      <c r="L5" s="128" t="inlineStr">
        <is>
          <t>기준 판매가</t>
        </is>
      </c>
      <c r="M5" s="128" t="inlineStr">
        <is>
          <t>최종 판매가
(영업 입력)</t>
        </is>
      </c>
      <c r="N5" s="128" t="inlineStr">
        <is>
          <t>적용가</t>
        </is>
      </c>
      <c r="O5" s="128" t="inlineStr">
        <is>
          <t>판관비
/개</t>
        </is>
      </c>
      <c r="P5" s="128" t="inlineStr">
        <is>
          <t>영업이익
/개</t>
        </is>
      </c>
      <c r="Q5" s="128" t="inlineStr">
        <is>
          <t>영업이익률
(실제)</t>
        </is>
      </c>
      <c r="R5" s="128" t="inlineStr">
        <is>
          <t>기준가 대비</t>
        </is>
      </c>
      <c r="S5" s="128" t="inlineStr">
        <is>
          <t>BEP 대비</t>
        </is>
      </c>
      <c r="T5" s="128" t="inlineStr">
        <is>
          <t>소비자
마진율</t>
        </is>
      </c>
      <c r="U5" s="128" t="inlineStr">
        <is>
          <t>소비자 판매가</t>
        </is>
      </c>
      <c r="V5" s="128" t="inlineStr">
        <is>
          <t>매출 합계</t>
        </is>
      </c>
      <c r="W5" s="128" t="inlineStr">
        <is>
          <t>영업이익 합계</t>
        </is>
      </c>
    </row>
    <row r="6">
      <c r="B6" s="171" t="n"/>
      <c r="C6" s="171" t="n"/>
      <c r="D6" s="172">
        <f>IF($C6="","",IFERROR(INDEX(자재판매가산출!$K$6:$K$24,MATCH($C6,자재판매가산출!$C$6:$C$24,0)),""))</f>
        <v/>
      </c>
      <c r="E6" s="173" t="n"/>
      <c r="F6" s="133">
        <f>IF($E6&lt;&gt;"",$E6,IF(N($D6)=0,"",$D6))</f>
        <v/>
      </c>
      <c r="G6" s="174" t="n"/>
      <c r="H6" s="133">
        <f>IF($F6="","",$F6*(1+설정!$C$32))</f>
        <v/>
      </c>
      <c r="I6" s="132" t="n"/>
      <c r="J6" s="132" t="n"/>
      <c r="K6" s="133">
        <f>IF($H6="","",IFERROR(IF(설정!$C$26="원가 가산",$H6*(1+IF($I6="",설정!$C$33,$I6)),$H6/(1-IF($I6="",설정!$C$33,$I6))),0))</f>
        <v/>
      </c>
      <c r="L6" s="133">
        <f>IF($H6="","",IFERROR(IF(설정!$C$27&lt;=1,ROUND(IF(설정!$C$26="원가 가산",$K6*(1+IF($J6="",설정!$C$34,$J6)),$H6/(1-IF($I6="",설정!$C$33,$I6)-IF($J6="",설정!$C$34,$J6))),0),CEILING(IF(설정!$C$26="원가 가산",$K6*(1+IF($J6="",설정!$C$34,$J6)),$H6/(1-IF($I6="",설정!$C$33,$I6)-IF($J6="",설정!$C$34,$J6))),설정!$C$27)),0))</f>
        <v/>
      </c>
      <c r="M6" s="175" t="n"/>
      <c r="N6" s="133">
        <f>IF($L6="","",IF($M6="",$L6,$M6))</f>
        <v/>
      </c>
      <c r="O6" s="133">
        <f>IF($N6="","",IF(설정!$C$26="원가 가산",$H6*IF($I6="",설정!$C$33,$I6),$N6*IF($I6="",설정!$C$33,$I6)))</f>
        <v/>
      </c>
      <c r="P6" s="133">
        <f>IF($N6="","",$N6-$H6-$O6)</f>
        <v/>
      </c>
      <c r="Q6" s="176">
        <f>IF(N($N6)=0,"",$P6/$N6)</f>
        <v/>
      </c>
      <c r="R6" s="176">
        <f>IF(N($L6)=0,"",$N6/$L6-1)</f>
        <v/>
      </c>
      <c r="S6" s="176">
        <f>IF(N($K6)=0,"",$N6/$K6-1)</f>
        <v/>
      </c>
      <c r="T6" s="132" t="n"/>
      <c r="U6" s="133">
        <f>IF($N6="","",IFERROR(IF(설정!$C$27&lt;=1,ROUND(IF(설정!$C$26="원가 가산",$N6*(1+IF($T6="",설정!$C$28,$T6)),$N6/(1-IF($T6="",설정!$C$28,$T6))),0),CEILING(IF(설정!$C$26="원가 가산",$N6*(1+IF($T6="",설정!$C$28,$T6)),$N6/(1-IF($T6="",설정!$C$28,$T6))),설정!$C$27)),0))</f>
        <v/>
      </c>
      <c r="V6" s="133">
        <f>IF($N6="","",$N6*$G6)</f>
        <v/>
      </c>
      <c r="W6" s="133">
        <f>IF($P6="","",$P6*$G6)</f>
        <v/>
      </c>
    </row>
    <row r="7">
      <c r="B7" s="171" t="n"/>
      <c r="C7" s="171" t="n"/>
      <c r="D7" s="172">
        <f>IF($C7="","",IFERROR(INDEX(자재판매가산출!$K$6:$K$24,MATCH($C7,자재판매가산출!$C$6:$C$24,0)),""))</f>
        <v/>
      </c>
      <c r="E7" s="173" t="n"/>
      <c r="F7" s="133">
        <f>IF($E7&lt;&gt;"",$E7,IF(N($D7)=0,"",$D7))</f>
        <v/>
      </c>
      <c r="G7" s="174" t="n"/>
      <c r="H7" s="133">
        <f>IF($F7="","",$F7*(1+설정!$C$32))</f>
        <v/>
      </c>
      <c r="I7" s="132" t="n"/>
      <c r="J7" s="132" t="n"/>
      <c r="K7" s="133">
        <f>IF($H7="","",IFERROR(IF(설정!$C$26="원가 가산",$H7*(1+IF($I7="",설정!$C$33,$I7)),$H7/(1-IF($I7="",설정!$C$33,$I7))),0))</f>
        <v/>
      </c>
      <c r="L7" s="133">
        <f>IF($H7="","",IFERROR(IF(설정!$C$27&lt;=1,ROUND(IF(설정!$C$26="원가 가산",$K7*(1+IF($J7="",설정!$C$34,$J7)),$H7/(1-IF($I7="",설정!$C$33,$I7)-IF($J7="",설정!$C$34,$J7))),0),CEILING(IF(설정!$C$26="원가 가산",$K7*(1+IF($J7="",설정!$C$34,$J7)),$H7/(1-IF($I7="",설정!$C$33,$I7)-IF($J7="",설정!$C$34,$J7))),설정!$C$27)),0))</f>
        <v/>
      </c>
      <c r="M7" s="175" t="n"/>
      <c r="N7" s="133">
        <f>IF($L7="","",IF($M7="",$L7,$M7))</f>
        <v/>
      </c>
      <c r="O7" s="133">
        <f>IF($N7="","",IF(설정!$C$26="원가 가산",$H7*IF($I7="",설정!$C$33,$I7),$N7*IF($I7="",설정!$C$33,$I7)))</f>
        <v/>
      </c>
      <c r="P7" s="133">
        <f>IF($N7="","",$N7-$H7-$O7)</f>
        <v/>
      </c>
      <c r="Q7" s="176">
        <f>IF(N($N7)=0,"",$P7/$N7)</f>
        <v/>
      </c>
      <c r="R7" s="176">
        <f>IF(N($L7)=0,"",$N7/$L7-1)</f>
        <v/>
      </c>
      <c r="S7" s="176">
        <f>IF(N($K7)=0,"",$N7/$K7-1)</f>
        <v/>
      </c>
      <c r="T7" s="132" t="n"/>
      <c r="U7" s="133">
        <f>IF($N7="","",IFERROR(IF(설정!$C$27&lt;=1,ROUND(IF(설정!$C$26="원가 가산",$N7*(1+IF($T7="",설정!$C$28,$T7)),$N7/(1-IF($T7="",설정!$C$28,$T7))),0),CEILING(IF(설정!$C$26="원가 가산",$N7*(1+IF($T7="",설정!$C$28,$T7)),$N7/(1-IF($T7="",설정!$C$28,$T7))),설정!$C$27)),0))</f>
        <v/>
      </c>
      <c r="V7" s="133">
        <f>IF($N7="","",$N7*$G7)</f>
        <v/>
      </c>
      <c r="W7" s="133">
        <f>IF($P7="","",$P7*$G7)</f>
        <v/>
      </c>
    </row>
    <row r="8">
      <c r="B8" s="171" t="n"/>
      <c r="C8" s="171" t="n"/>
      <c r="D8" s="172">
        <f>IF($C8="","",IFERROR(INDEX(자재판매가산출!$K$6:$K$24,MATCH($C8,자재판매가산출!$C$6:$C$24,0)),""))</f>
        <v/>
      </c>
      <c r="E8" s="173" t="n"/>
      <c r="F8" s="133">
        <f>IF($E8&lt;&gt;"",$E8,IF(N($D8)=0,"",$D8))</f>
        <v/>
      </c>
      <c r="G8" s="174" t="n"/>
      <c r="H8" s="133">
        <f>IF($F8="","",$F8*(1+설정!$C$32))</f>
        <v/>
      </c>
      <c r="I8" s="132" t="n"/>
      <c r="J8" s="132" t="n"/>
      <c r="K8" s="133">
        <f>IF($H8="","",IFERROR(IF(설정!$C$26="원가 가산",$H8*(1+IF($I8="",설정!$C$33,$I8)),$H8/(1-IF($I8="",설정!$C$33,$I8))),0))</f>
        <v/>
      </c>
      <c r="L8" s="133">
        <f>IF($H8="","",IFERROR(IF(설정!$C$27&lt;=1,ROUND(IF(설정!$C$26="원가 가산",$K8*(1+IF($J8="",설정!$C$34,$J8)),$H8/(1-IF($I8="",설정!$C$33,$I8)-IF($J8="",설정!$C$34,$J8))),0),CEILING(IF(설정!$C$26="원가 가산",$K8*(1+IF($J8="",설정!$C$34,$J8)),$H8/(1-IF($I8="",설정!$C$33,$I8)-IF($J8="",설정!$C$34,$J8))),설정!$C$27)),0))</f>
        <v/>
      </c>
      <c r="M8" s="175" t="n"/>
      <c r="N8" s="133">
        <f>IF($L8="","",IF($M8="",$L8,$M8))</f>
        <v/>
      </c>
      <c r="O8" s="133">
        <f>IF($N8="","",IF(설정!$C$26="원가 가산",$H8*IF($I8="",설정!$C$33,$I8),$N8*IF($I8="",설정!$C$33,$I8)))</f>
        <v/>
      </c>
      <c r="P8" s="133">
        <f>IF($N8="","",$N8-$H8-$O8)</f>
        <v/>
      </c>
      <c r="Q8" s="176">
        <f>IF(N($N8)=0,"",$P8/$N8)</f>
        <v/>
      </c>
      <c r="R8" s="176">
        <f>IF(N($L8)=0,"",$N8/$L8-1)</f>
        <v/>
      </c>
      <c r="S8" s="176">
        <f>IF(N($K8)=0,"",$N8/$K8-1)</f>
        <v/>
      </c>
      <c r="T8" s="132" t="n"/>
      <c r="U8" s="133">
        <f>IF($N8="","",IFERROR(IF(설정!$C$27&lt;=1,ROUND(IF(설정!$C$26="원가 가산",$N8*(1+IF($T8="",설정!$C$28,$T8)),$N8/(1-IF($T8="",설정!$C$28,$T8))),0),CEILING(IF(설정!$C$26="원가 가산",$N8*(1+IF($T8="",설정!$C$28,$T8)),$N8/(1-IF($T8="",설정!$C$28,$T8))),설정!$C$27)),0))</f>
        <v/>
      </c>
      <c r="V8" s="133">
        <f>IF($N8="","",$N8*$G8)</f>
        <v/>
      </c>
      <c r="W8" s="133">
        <f>IF($P8="","",$P8*$G8)</f>
        <v/>
      </c>
    </row>
    <row r="9">
      <c r="B9" s="171" t="n"/>
      <c r="C9" s="171" t="n"/>
      <c r="D9" s="172">
        <f>IF($C9="","",IFERROR(INDEX(자재판매가산출!$K$6:$K$24,MATCH($C9,자재판매가산출!$C$6:$C$24,0)),""))</f>
        <v/>
      </c>
      <c r="E9" s="173" t="n"/>
      <c r="F9" s="133">
        <f>IF($E9&lt;&gt;"",$E9,IF(N($D9)=0,"",$D9))</f>
        <v/>
      </c>
      <c r="G9" s="174" t="n"/>
      <c r="H9" s="133">
        <f>IF($F9="","",$F9*(1+설정!$C$32))</f>
        <v/>
      </c>
      <c r="I9" s="132" t="n"/>
      <c r="J9" s="132" t="n"/>
      <c r="K9" s="133">
        <f>IF($H9="","",IFERROR(IF(설정!$C$26="원가 가산",$H9*(1+IF($I9="",설정!$C$33,$I9)),$H9/(1-IF($I9="",설정!$C$33,$I9))),0))</f>
        <v/>
      </c>
      <c r="L9" s="133">
        <f>IF($H9="","",IFERROR(IF(설정!$C$27&lt;=1,ROUND(IF(설정!$C$26="원가 가산",$K9*(1+IF($J9="",설정!$C$34,$J9)),$H9/(1-IF($I9="",설정!$C$33,$I9)-IF($J9="",설정!$C$34,$J9))),0),CEILING(IF(설정!$C$26="원가 가산",$K9*(1+IF($J9="",설정!$C$34,$J9)),$H9/(1-IF($I9="",설정!$C$33,$I9)-IF($J9="",설정!$C$34,$J9))),설정!$C$27)),0))</f>
        <v/>
      </c>
      <c r="M9" s="175" t="n"/>
      <c r="N9" s="133">
        <f>IF($L9="","",IF($M9="",$L9,$M9))</f>
        <v/>
      </c>
      <c r="O9" s="133">
        <f>IF($N9="","",IF(설정!$C$26="원가 가산",$H9*IF($I9="",설정!$C$33,$I9),$N9*IF($I9="",설정!$C$33,$I9)))</f>
        <v/>
      </c>
      <c r="P9" s="133">
        <f>IF($N9="","",$N9-$H9-$O9)</f>
        <v/>
      </c>
      <c r="Q9" s="176">
        <f>IF(N($N9)=0,"",$P9/$N9)</f>
        <v/>
      </c>
      <c r="R9" s="176">
        <f>IF(N($L9)=0,"",$N9/$L9-1)</f>
        <v/>
      </c>
      <c r="S9" s="176">
        <f>IF(N($K9)=0,"",$N9/$K9-1)</f>
        <v/>
      </c>
      <c r="T9" s="132" t="n"/>
      <c r="U9" s="133">
        <f>IF($N9="","",IFERROR(IF(설정!$C$27&lt;=1,ROUND(IF(설정!$C$26="원가 가산",$N9*(1+IF($T9="",설정!$C$28,$T9)),$N9/(1-IF($T9="",설정!$C$28,$T9))),0),CEILING(IF(설정!$C$26="원가 가산",$N9*(1+IF($T9="",설정!$C$28,$T9)),$N9/(1-IF($T9="",설정!$C$28,$T9))),설정!$C$27)),0))</f>
        <v/>
      </c>
      <c r="V9" s="133">
        <f>IF($N9="","",$N9*$G9)</f>
        <v/>
      </c>
      <c r="W9" s="133">
        <f>IF($P9="","",$P9*$G9)</f>
        <v/>
      </c>
    </row>
    <row r="10">
      <c r="B10" s="171" t="n"/>
      <c r="C10" s="171" t="n"/>
      <c r="D10" s="172">
        <f>IF($C10="","",IFERROR(INDEX(자재판매가산출!$K$6:$K$24,MATCH($C10,자재판매가산출!$C$6:$C$24,0)),""))</f>
        <v/>
      </c>
      <c r="E10" s="173" t="n"/>
      <c r="F10" s="133">
        <f>IF($E10&lt;&gt;"",$E10,IF(N($D10)=0,"",$D10))</f>
        <v/>
      </c>
      <c r="G10" s="174" t="n"/>
      <c r="H10" s="133">
        <f>IF($F10="","",$F10*(1+설정!$C$32))</f>
        <v/>
      </c>
      <c r="I10" s="132" t="n"/>
      <c r="J10" s="132" t="n"/>
      <c r="K10" s="133">
        <f>IF($H10="","",IFERROR(IF(설정!$C$26="원가 가산",$H10*(1+IF($I10="",설정!$C$33,$I10)),$H10/(1-IF($I10="",설정!$C$33,$I10))),0))</f>
        <v/>
      </c>
      <c r="L10" s="133">
        <f>IF($H10="","",IFERROR(IF(설정!$C$27&lt;=1,ROUND(IF(설정!$C$26="원가 가산",$K10*(1+IF($J10="",설정!$C$34,$J10)),$H10/(1-IF($I10="",설정!$C$33,$I10)-IF($J10="",설정!$C$34,$J10))),0),CEILING(IF(설정!$C$26="원가 가산",$K10*(1+IF($J10="",설정!$C$34,$J10)),$H10/(1-IF($I10="",설정!$C$33,$I10)-IF($J10="",설정!$C$34,$J10))),설정!$C$27)),0))</f>
        <v/>
      </c>
      <c r="M10" s="175" t="n"/>
      <c r="N10" s="133">
        <f>IF($L10="","",IF($M10="",$L10,$M10))</f>
        <v/>
      </c>
      <c r="O10" s="133">
        <f>IF($N10="","",IF(설정!$C$26="원가 가산",$H10*IF($I10="",설정!$C$33,$I10),$N10*IF($I10="",설정!$C$33,$I10)))</f>
        <v/>
      </c>
      <c r="P10" s="133">
        <f>IF($N10="","",$N10-$H10-$O10)</f>
        <v/>
      </c>
      <c r="Q10" s="176">
        <f>IF(N($N10)=0,"",$P10/$N10)</f>
        <v/>
      </c>
      <c r="R10" s="176">
        <f>IF(N($L10)=0,"",$N10/$L10-1)</f>
        <v/>
      </c>
      <c r="S10" s="176">
        <f>IF(N($K10)=0,"",$N10/$K10-1)</f>
        <v/>
      </c>
      <c r="T10" s="132" t="n"/>
      <c r="U10" s="133">
        <f>IF($N10="","",IFERROR(IF(설정!$C$27&lt;=1,ROUND(IF(설정!$C$26="원가 가산",$N10*(1+IF($T10="",설정!$C$28,$T10)),$N10/(1-IF($T10="",설정!$C$28,$T10))),0),CEILING(IF(설정!$C$26="원가 가산",$N10*(1+IF($T10="",설정!$C$28,$T10)),$N10/(1-IF($T10="",설정!$C$28,$T10))),설정!$C$27)),0))</f>
        <v/>
      </c>
      <c r="V10" s="133">
        <f>IF($N10="","",$N10*$G10)</f>
        <v/>
      </c>
      <c r="W10" s="133">
        <f>IF($P10="","",$P10*$G10)</f>
        <v/>
      </c>
    </row>
    <row r="11">
      <c r="B11" s="171" t="n"/>
      <c r="C11" s="171" t="n"/>
      <c r="D11" s="172">
        <f>IF($C11="","",IFERROR(INDEX(자재판매가산출!$K$6:$K$24,MATCH($C11,자재판매가산출!$C$6:$C$24,0)),""))</f>
        <v/>
      </c>
      <c r="E11" s="173" t="n"/>
      <c r="F11" s="133">
        <f>IF($E11&lt;&gt;"",$E11,IF(N($D11)=0,"",$D11))</f>
        <v/>
      </c>
      <c r="G11" s="174" t="n"/>
      <c r="H11" s="133">
        <f>IF($F11="","",$F11*(1+설정!$C$32))</f>
        <v/>
      </c>
      <c r="I11" s="132" t="n"/>
      <c r="J11" s="132" t="n"/>
      <c r="K11" s="133">
        <f>IF($H11="","",IFERROR(IF(설정!$C$26="원가 가산",$H11*(1+IF($I11="",설정!$C$33,$I11)),$H11/(1-IF($I11="",설정!$C$33,$I11))),0))</f>
        <v/>
      </c>
      <c r="L11" s="133">
        <f>IF($H11="","",IFERROR(IF(설정!$C$27&lt;=1,ROUND(IF(설정!$C$26="원가 가산",$K11*(1+IF($J11="",설정!$C$34,$J11)),$H11/(1-IF($I11="",설정!$C$33,$I11)-IF($J11="",설정!$C$34,$J11))),0),CEILING(IF(설정!$C$26="원가 가산",$K11*(1+IF($J11="",설정!$C$34,$J11)),$H11/(1-IF($I11="",설정!$C$33,$I11)-IF($J11="",설정!$C$34,$J11))),설정!$C$27)),0))</f>
        <v/>
      </c>
      <c r="M11" s="175" t="n"/>
      <c r="N11" s="133">
        <f>IF($L11="","",IF($M11="",$L11,$M11))</f>
        <v/>
      </c>
      <c r="O11" s="133">
        <f>IF($N11="","",IF(설정!$C$26="원가 가산",$H11*IF($I11="",설정!$C$33,$I11),$N11*IF($I11="",설정!$C$33,$I11)))</f>
        <v/>
      </c>
      <c r="P11" s="133">
        <f>IF($N11="","",$N11-$H11-$O11)</f>
        <v/>
      </c>
      <c r="Q11" s="176">
        <f>IF(N($N11)=0,"",$P11/$N11)</f>
        <v/>
      </c>
      <c r="R11" s="176">
        <f>IF(N($L11)=0,"",$N11/$L11-1)</f>
        <v/>
      </c>
      <c r="S11" s="176">
        <f>IF(N($K11)=0,"",$N11/$K11-1)</f>
        <v/>
      </c>
      <c r="T11" s="132" t="n"/>
      <c r="U11" s="133">
        <f>IF($N11="","",IFERROR(IF(설정!$C$27&lt;=1,ROUND(IF(설정!$C$26="원가 가산",$N11*(1+IF($T11="",설정!$C$28,$T11)),$N11/(1-IF($T11="",설정!$C$28,$T11))),0),CEILING(IF(설정!$C$26="원가 가산",$N11*(1+IF($T11="",설정!$C$28,$T11)),$N11/(1-IF($T11="",설정!$C$28,$T11))),설정!$C$27)),0))</f>
        <v/>
      </c>
      <c r="V11" s="133">
        <f>IF($N11="","",$N11*$G11)</f>
        <v/>
      </c>
      <c r="W11" s="133">
        <f>IF($P11="","",$P11*$G11)</f>
        <v/>
      </c>
    </row>
    <row r="12">
      <c r="B12" s="171" t="n"/>
      <c r="C12" s="171" t="n"/>
      <c r="D12" s="172">
        <f>IF($C12="","",IFERROR(INDEX(자재판매가산출!$K$6:$K$24,MATCH($C12,자재판매가산출!$C$6:$C$24,0)),""))</f>
        <v/>
      </c>
      <c r="E12" s="173" t="n"/>
      <c r="F12" s="133">
        <f>IF($E12&lt;&gt;"",$E12,IF(N($D12)=0,"",$D12))</f>
        <v/>
      </c>
      <c r="G12" s="174" t="n"/>
      <c r="H12" s="133">
        <f>IF($F12="","",$F12*(1+설정!$C$32))</f>
        <v/>
      </c>
      <c r="I12" s="132" t="n"/>
      <c r="J12" s="132" t="n"/>
      <c r="K12" s="133">
        <f>IF($H12="","",IFERROR(IF(설정!$C$26="원가 가산",$H12*(1+IF($I12="",설정!$C$33,$I12)),$H12/(1-IF($I12="",설정!$C$33,$I12))),0))</f>
        <v/>
      </c>
      <c r="L12" s="133">
        <f>IF($H12="","",IFERROR(IF(설정!$C$27&lt;=1,ROUND(IF(설정!$C$26="원가 가산",$K12*(1+IF($J12="",설정!$C$34,$J12)),$H12/(1-IF($I12="",설정!$C$33,$I12)-IF($J12="",설정!$C$34,$J12))),0),CEILING(IF(설정!$C$26="원가 가산",$K12*(1+IF($J12="",설정!$C$34,$J12)),$H12/(1-IF($I12="",설정!$C$33,$I12)-IF($J12="",설정!$C$34,$J12))),설정!$C$27)),0))</f>
        <v/>
      </c>
      <c r="M12" s="175" t="n"/>
      <c r="N12" s="133">
        <f>IF($L12="","",IF($M12="",$L12,$M12))</f>
        <v/>
      </c>
      <c r="O12" s="133">
        <f>IF($N12="","",IF(설정!$C$26="원가 가산",$H12*IF($I12="",설정!$C$33,$I12),$N12*IF($I12="",설정!$C$33,$I12)))</f>
        <v/>
      </c>
      <c r="P12" s="133">
        <f>IF($N12="","",$N12-$H12-$O12)</f>
        <v/>
      </c>
      <c r="Q12" s="176">
        <f>IF(N($N12)=0,"",$P12/$N12)</f>
        <v/>
      </c>
      <c r="R12" s="176">
        <f>IF(N($L12)=0,"",$N12/$L12-1)</f>
        <v/>
      </c>
      <c r="S12" s="176">
        <f>IF(N($K12)=0,"",$N12/$K12-1)</f>
        <v/>
      </c>
      <c r="T12" s="132" t="n"/>
      <c r="U12" s="133">
        <f>IF($N12="","",IFERROR(IF(설정!$C$27&lt;=1,ROUND(IF(설정!$C$26="원가 가산",$N12*(1+IF($T12="",설정!$C$28,$T12)),$N12/(1-IF($T12="",설정!$C$28,$T12))),0),CEILING(IF(설정!$C$26="원가 가산",$N12*(1+IF($T12="",설정!$C$28,$T12)),$N12/(1-IF($T12="",설정!$C$28,$T12))),설정!$C$27)),0))</f>
        <v/>
      </c>
      <c r="V12" s="133">
        <f>IF($N12="","",$N12*$G12)</f>
        <v/>
      </c>
      <c r="W12" s="133">
        <f>IF($P12="","",$P12*$G12)</f>
        <v/>
      </c>
    </row>
    <row r="13">
      <c r="B13" s="171" t="n"/>
      <c r="C13" s="171" t="n"/>
      <c r="D13" s="172">
        <f>IF($C13="","",IFERROR(INDEX(자재판매가산출!$K$6:$K$24,MATCH($C13,자재판매가산출!$C$6:$C$24,0)),""))</f>
        <v/>
      </c>
      <c r="E13" s="173" t="n"/>
      <c r="F13" s="133">
        <f>IF($E13&lt;&gt;"",$E13,IF(N($D13)=0,"",$D13))</f>
        <v/>
      </c>
      <c r="G13" s="174" t="n"/>
      <c r="H13" s="133">
        <f>IF($F13="","",$F13*(1+설정!$C$32))</f>
        <v/>
      </c>
      <c r="I13" s="132" t="n"/>
      <c r="J13" s="132" t="n"/>
      <c r="K13" s="133">
        <f>IF($H13="","",IFERROR(IF(설정!$C$26="원가 가산",$H13*(1+IF($I13="",설정!$C$33,$I13)),$H13/(1-IF($I13="",설정!$C$33,$I13))),0))</f>
        <v/>
      </c>
      <c r="L13" s="133">
        <f>IF($H13="","",IFERROR(IF(설정!$C$27&lt;=1,ROUND(IF(설정!$C$26="원가 가산",$K13*(1+IF($J13="",설정!$C$34,$J13)),$H13/(1-IF($I13="",설정!$C$33,$I13)-IF($J13="",설정!$C$34,$J13))),0),CEILING(IF(설정!$C$26="원가 가산",$K13*(1+IF($J13="",설정!$C$34,$J13)),$H13/(1-IF($I13="",설정!$C$33,$I13)-IF($J13="",설정!$C$34,$J13))),설정!$C$27)),0))</f>
        <v/>
      </c>
      <c r="M13" s="175" t="n"/>
      <c r="N13" s="133">
        <f>IF($L13="","",IF($M13="",$L13,$M13))</f>
        <v/>
      </c>
      <c r="O13" s="133">
        <f>IF($N13="","",IF(설정!$C$26="원가 가산",$H13*IF($I13="",설정!$C$33,$I13),$N13*IF($I13="",설정!$C$33,$I13)))</f>
        <v/>
      </c>
      <c r="P13" s="133">
        <f>IF($N13="","",$N13-$H13-$O13)</f>
        <v/>
      </c>
      <c r="Q13" s="176">
        <f>IF(N($N13)=0,"",$P13/$N13)</f>
        <v/>
      </c>
      <c r="R13" s="176">
        <f>IF(N($L13)=0,"",$N13/$L13-1)</f>
        <v/>
      </c>
      <c r="S13" s="176">
        <f>IF(N($K13)=0,"",$N13/$K13-1)</f>
        <v/>
      </c>
      <c r="T13" s="132" t="n"/>
      <c r="U13" s="133">
        <f>IF($N13="","",IFERROR(IF(설정!$C$27&lt;=1,ROUND(IF(설정!$C$26="원가 가산",$N13*(1+IF($T13="",설정!$C$28,$T13)),$N13/(1-IF($T13="",설정!$C$28,$T13))),0),CEILING(IF(설정!$C$26="원가 가산",$N13*(1+IF($T13="",설정!$C$28,$T13)),$N13/(1-IF($T13="",설정!$C$28,$T13))),설정!$C$27)),0))</f>
        <v/>
      </c>
      <c r="V13" s="133">
        <f>IF($N13="","",$N13*$G13)</f>
        <v/>
      </c>
      <c r="W13" s="133">
        <f>IF($P13="","",$P13*$G13)</f>
        <v/>
      </c>
    </row>
    <row r="14">
      <c r="B14" s="171" t="n"/>
      <c r="C14" s="171" t="n"/>
      <c r="D14" s="172">
        <f>IF($C14="","",IFERROR(INDEX(자재판매가산출!$K$6:$K$24,MATCH($C14,자재판매가산출!$C$6:$C$24,0)),""))</f>
        <v/>
      </c>
      <c r="E14" s="173" t="n"/>
      <c r="F14" s="133">
        <f>IF($E14&lt;&gt;"",$E14,IF(N($D14)=0,"",$D14))</f>
        <v/>
      </c>
      <c r="G14" s="174" t="n"/>
      <c r="H14" s="133">
        <f>IF($F14="","",$F14*(1+설정!$C$32))</f>
        <v/>
      </c>
      <c r="I14" s="132" t="n"/>
      <c r="J14" s="132" t="n"/>
      <c r="K14" s="133">
        <f>IF($H14="","",IFERROR(IF(설정!$C$26="원가 가산",$H14*(1+IF($I14="",설정!$C$33,$I14)),$H14/(1-IF($I14="",설정!$C$33,$I14))),0))</f>
        <v/>
      </c>
      <c r="L14" s="133">
        <f>IF($H14="","",IFERROR(IF(설정!$C$27&lt;=1,ROUND(IF(설정!$C$26="원가 가산",$K14*(1+IF($J14="",설정!$C$34,$J14)),$H14/(1-IF($I14="",설정!$C$33,$I14)-IF($J14="",설정!$C$34,$J14))),0),CEILING(IF(설정!$C$26="원가 가산",$K14*(1+IF($J14="",설정!$C$34,$J14)),$H14/(1-IF($I14="",설정!$C$33,$I14)-IF($J14="",설정!$C$34,$J14))),설정!$C$27)),0))</f>
        <v/>
      </c>
      <c r="M14" s="175" t="n"/>
      <c r="N14" s="133">
        <f>IF($L14="","",IF($M14="",$L14,$M14))</f>
        <v/>
      </c>
      <c r="O14" s="133">
        <f>IF($N14="","",IF(설정!$C$26="원가 가산",$H14*IF($I14="",설정!$C$33,$I14),$N14*IF($I14="",설정!$C$33,$I14)))</f>
        <v/>
      </c>
      <c r="P14" s="133">
        <f>IF($N14="","",$N14-$H14-$O14)</f>
        <v/>
      </c>
      <c r="Q14" s="176">
        <f>IF(N($N14)=0,"",$P14/$N14)</f>
        <v/>
      </c>
      <c r="R14" s="176">
        <f>IF(N($L14)=0,"",$N14/$L14-1)</f>
        <v/>
      </c>
      <c r="S14" s="176">
        <f>IF(N($K14)=0,"",$N14/$K14-1)</f>
        <v/>
      </c>
      <c r="T14" s="132" t="n"/>
      <c r="U14" s="133">
        <f>IF($N14="","",IFERROR(IF(설정!$C$27&lt;=1,ROUND(IF(설정!$C$26="원가 가산",$N14*(1+IF($T14="",설정!$C$28,$T14)),$N14/(1-IF($T14="",설정!$C$28,$T14))),0),CEILING(IF(설정!$C$26="원가 가산",$N14*(1+IF($T14="",설정!$C$28,$T14)),$N14/(1-IF($T14="",설정!$C$28,$T14))),설정!$C$27)),0))</f>
        <v/>
      </c>
      <c r="V14" s="133">
        <f>IF($N14="","",$N14*$G14)</f>
        <v/>
      </c>
      <c r="W14" s="133">
        <f>IF($P14="","",$P14*$G14)</f>
        <v/>
      </c>
    </row>
    <row r="15">
      <c r="B15" s="171" t="n"/>
      <c r="C15" s="171" t="n"/>
      <c r="D15" s="172">
        <f>IF($C15="","",IFERROR(INDEX(자재판매가산출!$K$6:$K$24,MATCH($C15,자재판매가산출!$C$6:$C$24,0)),""))</f>
        <v/>
      </c>
      <c r="E15" s="173" t="n"/>
      <c r="F15" s="133">
        <f>IF($E15&lt;&gt;"",$E15,IF(N($D15)=0,"",$D15))</f>
        <v/>
      </c>
      <c r="G15" s="174" t="n"/>
      <c r="H15" s="133">
        <f>IF($F15="","",$F15*(1+설정!$C$32))</f>
        <v/>
      </c>
      <c r="I15" s="132" t="n"/>
      <c r="J15" s="132" t="n"/>
      <c r="K15" s="133">
        <f>IF($H15="","",IFERROR(IF(설정!$C$26="원가 가산",$H15*(1+IF($I15="",설정!$C$33,$I15)),$H15/(1-IF($I15="",설정!$C$33,$I15))),0))</f>
        <v/>
      </c>
      <c r="L15" s="133">
        <f>IF($H15="","",IFERROR(IF(설정!$C$27&lt;=1,ROUND(IF(설정!$C$26="원가 가산",$K15*(1+IF($J15="",설정!$C$34,$J15)),$H15/(1-IF($I15="",설정!$C$33,$I15)-IF($J15="",설정!$C$34,$J15))),0),CEILING(IF(설정!$C$26="원가 가산",$K15*(1+IF($J15="",설정!$C$34,$J15)),$H15/(1-IF($I15="",설정!$C$33,$I15)-IF($J15="",설정!$C$34,$J15))),설정!$C$27)),0))</f>
        <v/>
      </c>
      <c r="M15" s="175" t="n"/>
      <c r="N15" s="133">
        <f>IF($L15="","",IF($M15="",$L15,$M15))</f>
        <v/>
      </c>
      <c r="O15" s="133">
        <f>IF($N15="","",IF(설정!$C$26="원가 가산",$H15*IF($I15="",설정!$C$33,$I15),$N15*IF($I15="",설정!$C$33,$I15)))</f>
        <v/>
      </c>
      <c r="P15" s="133">
        <f>IF($N15="","",$N15-$H15-$O15)</f>
        <v/>
      </c>
      <c r="Q15" s="176">
        <f>IF(N($N15)=0,"",$P15/$N15)</f>
        <v/>
      </c>
      <c r="R15" s="176">
        <f>IF(N($L15)=0,"",$N15/$L15-1)</f>
        <v/>
      </c>
      <c r="S15" s="176">
        <f>IF(N($K15)=0,"",$N15/$K15-1)</f>
        <v/>
      </c>
      <c r="T15" s="132" t="n"/>
      <c r="U15" s="133">
        <f>IF($N15="","",IFERROR(IF(설정!$C$27&lt;=1,ROUND(IF(설정!$C$26="원가 가산",$N15*(1+IF($T15="",설정!$C$28,$T15)),$N15/(1-IF($T15="",설정!$C$28,$T15))),0),CEILING(IF(설정!$C$26="원가 가산",$N15*(1+IF($T15="",설정!$C$28,$T15)),$N15/(1-IF($T15="",설정!$C$28,$T15))),설정!$C$27)),0))</f>
        <v/>
      </c>
      <c r="V15" s="133">
        <f>IF($N15="","",$N15*$G15)</f>
        <v/>
      </c>
      <c r="W15" s="133">
        <f>IF($P15="","",$P15*$G15)</f>
        <v/>
      </c>
    </row>
    <row r="16">
      <c r="B16" s="171" t="n"/>
      <c r="C16" s="171" t="n"/>
      <c r="D16" s="172">
        <f>IF($C16="","",IFERROR(INDEX(자재판매가산출!$K$6:$K$24,MATCH($C16,자재판매가산출!$C$6:$C$24,0)),""))</f>
        <v/>
      </c>
      <c r="E16" s="173" t="n"/>
      <c r="F16" s="133">
        <f>IF($E16&lt;&gt;"",$E16,IF(N($D16)=0,"",$D16))</f>
        <v/>
      </c>
      <c r="G16" s="174" t="n"/>
      <c r="H16" s="133">
        <f>IF($F16="","",$F16*(1+설정!$C$32))</f>
        <v/>
      </c>
      <c r="I16" s="132" t="n"/>
      <c r="J16" s="132" t="n"/>
      <c r="K16" s="133">
        <f>IF($H16="","",IFERROR(IF(설정!$C$26="원가 가산",$H16*(1+IF($I16="",설정!$C$33,$I16)),$H16/(1-IF($I16="",설정!$C$33,$I16))),0))</f>
        <v/>
      </c>
      <c r="L16" s="133">
        <f>IF($H16="","",IFERROR(IF(설정!$C$27&lt;=1,ROUND(IF(설정!$C$26="원가 가산",$K16*(1+IF($J16="",설정!$C$34,$J16)),$H16/(1-IF($I16="",설정!$C$33,$I16)-IF($J16="",설정!$C$34,$J16))),0),CEILING(IF(설정!$C$26="원가 가산",$K16*(1+IF($J16="",설정!$C$34,$J16)),$H16/(1-IF($I16="",설정!$C$33,$I16)-IF($J16="",설정!$C$34,$J16))),설정!$C$27)),0))</f>
        <v/>
      </c>
      <c r="M16" s="175" t="n"/>
      <c r="N16" s="133">
        <f>IF($L16="","",IF($M16="",$L16,$M16))</f>
        <v/>
      </c>
      <c r="O16" s="133">
        <f>IF($N16="","",IF(설정!$C$26="원가 가산",$H16*IF($I16="",설정!$C$33,$I16),$N16*IF($I16="",설정!$C$33,$I16)))</f>
        <v/>
      </c>
      <c r="P16" s="133">
        <f>IF($N16="","",$N16-$H16-$O16)</f>
        <v/>
      </c>
      <c r="Q16" s="176">
        <f>IF(N($N16)=0,"",$P16/$N16)</f>
        <v/>
      </c>
      <c r="R16" s="176">
        <f>IF(N($L16)=0,"",$N16/$L16-1)</f>
        <v/>
      </c>
      <c r="S16" s="176">
        <f>IF(N($K16)=0,"",$N16/$K16-1)</f>
        <v/>
      </c>
      <c r="T16" s="132" t="n"/>
      <c r="U16" s="133">
        <f>IF($N16="","",IFERROR(IF(설정!$C$27&lt;=1,ROUND(IF(설정!$C$26="원가 가산",$N16*(1+IF($T16="",설정!$C$28,$T16)),$N16/(1-IF($T16="",설정!$C$28,$T16))),0),CEILING(IF(설정!$C$26="원가 가산",$N16*(1+IF($T16="",설정!$C$28,$T16)),$N16/(1-IF($T16="",설정!$C$28,$T16))),설정!$C$27)),0))</f>
        <v/>
      </c>
      <c r="V16" s="133">
        <f>IF($N16="","",$N16*$G16)</f>
        <v/>
      </c>
      <c r="W16" s="133">
        <f>IF($P16="","",$P16*$G16)</f>
        <v/>
      </c>
    </row>
    <row r="17">
      <c r="B17" s="171" t="n"/>
      <c r="C17" s="171" t="n"/>
      <c r="D17" s="172">
        <f>IF($C17="","",IFERROR(INDEX(자재판매가산출!$K$6:$K$24,MATCH($C17,자재판매가산출!$C$6:$C$24,0)),""))</f>
        <v/>
      </c>
      <c r="E17" s="173" t="n"/>
      <c r="F17" s="133">
        <f>IF($E17&lt;&gt;"",$E17,IF(N($D17)=0,"",$D17))</f>
        <v/>
      </c>
      <c r="G17" s="174" t="n"/>
      <c r="H17" s="133">
        <f>IF($F17="","",$F17*(1+설정!$C$32))</f>
        <v/>
      </c>
      <c r="I17" s="132" t="n"/>
      <c r="J17" s="132" t="n"/>
      <c r="K17" s="133">
        <f>IF($H17="","",IFERROR(IF(설정!$C$26="원가 가산",$H17*(1+IF($I17="",설정!$C$33,$I17)),$H17/(1-IF($I17="",설정!$C$33,$I17))),0))</f>
        <v/>
      </c>
      <c r="L17" s="133">
        <f>IF($H17="","",IFERROR(IF(설정!$C$27&lt;=1,ROUND(IF(설정!$C$26="원가 가산",$K17*(1+IF($J17="",설정!$C$34,$J17)),$H17/(1-IF($I17="",설정!$C$33,$I17)-IF($J17="",설정!$C$34,$J17))),0),CEILING(IF(설정!$C$26="원가 가산",$K17*(1+IF($J17="",설정!$C$34,$J17)),$H17/(1-IF($I17="",설정!$C$33,$I17)-IF($J17="",설정!$C$34,$J17))),설정!$C$27)),0))</f>
        <v/>
      </c>
      <c r="M17" s="175" t="n"/>
      <c r="N17" s="133">
        <f>IF($L17="","",IF($M17="",$L17,$M17))</f>
        <v/>
      </c>
      <c r="O17" s="133">
        <f>IF($N17="","",IF(설정!$C$26="원가 가산",$H17*IF($I17="",설정!$C$33,$I17),$N17*IF($I17="",설정!$C$33,$I17)))</f>
        <v/>
      </c>
      <c r="P17" s="133">
        <f>IF($N17="","",$N17-$H17-$O17)</f>
        <v/>
      </c>
      <c r="Q17" s="176">
        <f>IF(N($N17)=0,"",$P17/$N17)</f>
        <v/>
      </c>
      <c r="R17" s="176">
        <f>IF(N($L17)=0,"",$N17/$L17-1)</f>
        <v/>
      </c>
      <c r="S17" s="176">
        <f>IF(N($K17)=0,"",$N17/$K17-1)</f>
        <v/>
      </c>
      <c r="T17" s="132" t="n"/>
      <c r="U17" s="133">
        <f>IF($N17="","",IFERROR(IF(설정!$C$27&lt;=1,ROUND(IF(설정!$C$26="원가 가산",$N17*(1+IF($T17="",설정!$C$28,$T17)),$N17/(1-IF($T17="",설정!$C$28,$T17))),0),CEILING(IF(설정!$C$26="원가 가산",$N17*(1+IF($T17="",설정!$C$28,$T17)),$N17/(1-IF($T17="",설정!$C$28,$T17))),설정!$C$27)),0))</f>
        <v/>
      </c>
      <c r="V17" s="133">
        <f>IF($N17="","",$N17*$G17)</f>
        <v/>
      </c>
      <c r="W17" s="133">
        <f>IF($P17="","",$P17*$G17)</f>
        <v/>
      </c>
    </row>
    <row r="18">
      <c r="B18" s="171" t="n"/>
      <c r="C18" s="171" t="n"/>
      <c r="D18" s="172">
        <f>IF($C18="","",IFERROR(INDEX(자재판매가산출!$K$6:$K$24,MATCH($C18,자재판매가산출!$C$6:$C$24,0)),""))</f>
        <v/>
      </c>
      <c r="E18" s="173" t="n"/>
      <c r="F18" s="133">
        <f>IF($E18&lt;&gt;"",$E18,IF(N($D18)=0,"",$D18))</f>
        <v/>
      </c>
      <c r="G18" s="174" t="n"/>
      <c r="H18" s="133">
        <f>IF($F18="","",$F18*(1+설정!$C$32))</f>
        <v/>
      </c>
      <c r="I18" s="132" t="n"/>
      <c r="J18" s="132" t="n"/>
      <c r="K18" s="133">
        <f>IF($H18="","",IFERROR(IF(설정!$C$26="원가 가산",$H18*(1+IF($I18="",설정!$C$33,$I18)),$H18/(1-IF($I18="",설정!$C$33,$I18))),0))</f>
        <v/>
      </c>
      <c r="L18" s="133">
        <f>IF($H18="","",IFERROR(IF(설정!$C$27&lt;=1,ROUND(IF(설정!$C$26="원가 가산",$K18*(1+IF($J18="",설정!$C$34,$J18)),$H18/(1-IF($I18="",설정!$C$33,$I18)-IF($J18="",설정!$C$34,$J18))),0),CEILING(IF(설정!$C$26="원가 가산",$K18*(1+IF($J18="",설정!$C$34,$J18)),$H18/(1-IF($I18="",설정!$C$33,$I18)-IF($J18="",설정!$C$34,$J18))),설정!$C$27)),0))</f>
        <v/>
      </c>
      <c r="M18" s="175" t="n"/>
      <c r="N18" s="133">
        <f>IF($L18="","",IF($M18="",$L18,$M18))</f>
        <v/>
      </c>
      <c r="O18" s="133">
        <f>IF($N18="","",IF(설정!$C$26="원가 가산",$H18*IF($I18="",설정!$C$33,$I18),$N18*IF($I18="",설정!$C$33,$I18)))</f>
        <v/>
      </c>
      <c r="P18" s="133">
        <f>IF($N18="","",$N18-$H18-$O18)</f>
        <v/>
      </c>
      <c r="Q18" s="176">
        <f>IF(N($N18)=0,"",$P18/$N18)</f>
        <v/>
      </c>
      <c r="R18" s="176">
        <f>IF(N($L18)=0,"",$N18/$L18-1)</f>
        <v/>
      </c>
      <c r="S18" s="176">
        <f>IF(N($K18)=0,"",$N18/$K18-1)</f>
        <v/>
      </c>
      <c r="T18" s="132" t="n"/>
      <c r="U18" s="133">
        <f>IF($N18="","",IFERROR(IF(설정!$C$27&lt;=1,ROUND(IF(설정!$C$26="원가 가산",$N18*(1+IF($T18="",설정!$C$28,$T18)),$N18/(1-IF($T18="",설정!$C$28,$T18))),0),CEILING(IF(설정!$C$26="원가 가산",$N18*(1+IF($T18="",설정!$C$28,$T18)),$N18/(1-IF($T18="",설정!$C$28,$T18))),설정!$C$27)),0))</f>
        <v/>
      </c>
      <c r="V18" s="133">
        <f>IF($N18="","",$N18*$G18)</f>
        <v/>
      </c>
      <c r="W18" s="133">
        <f>IF($P18="","",$P18*$G18)</f>
        <v/>
      </c>
    </row>
    <row r="19">
      <c r="B19" s="171" t="n"/>
      <c r="C19" s="171" t="n"/>
      <c r="D19" s="172">
        <f>IF($C19="","",IFERROR(INDEX(자재판매가산출!$K$6:$K$24,MATCH($C19,자재판매가산출!$C$6:$C$24,0)),""))</f>
        <v/>
      </c>
      <c r="E19" s="173" t="n"/>
      <c r="F19" s="133">
        <f>IF($E19&lt;&gt;"",$E19,IF(N($D19)=0,"",$D19))</f>
        <v/>
      </c>
      <c r="G19" s="174" t="n"/>
      <c r="H19" s="133">
        <f>IF($F19="","",$F19*(1+설정!$C$32))</f>
        <v/>
      </c>
      <c r="I19" s="132" t="n"/>
      <c r="J19" s="132" t="n"/>
      <c r="K19" s="133">
        <f>IF($H19="","",IFERROR(IF(설정!$C$26="원가 가산",$H19*(1+IF($I19="",설정!$C$33,$I19)),$H19/(1-IF($I19="",설정!$C$33,$I19))),0))</f>
        <v/>
      </c>
      <c r="L19" s="133">
        <f>IF($H19="","",IFERROR(IF(설정!$C$27&lt;=1,ROUND(IF(설정!$C$26="원가 가산",$K19*(1+IF($J19="",설정!$C$34,$J19)),$H19/(1-IF($I19="",설정!$C$33,$I19)-IF($J19="",설정!$C$34,$J19))),0),CEILING(IF(설정!$C$26="원가 가산",$K19*(1+IF($J19="",설정!$C$34,$J19)),$H19/(1-IF($I19="",설정!$C$33,$I19)-IF($J19="",설정!$C$34,$J19))),설정!$C$27)),0))</f>
        <v/>
      </c>
      <c r="M19" s="175" t="n"/>
      <c r="N19" s="133">
        <f>IF($L19="","",IF($M19="",$L19,$M19))</f>
        <v/>
      </c>
      <c r="O19" s="133">
        <f>IF($N19="","",IF(설정!$C$26="원가 가산",$H19*IF($I19="",설정!$C$33,$I19),$N19*IF($I19="",설정!$C$33,$I19)))</f>
        <v/>
      </c>
      <c r="P19" s="133">
        <f>IF($N19="","",$N19-$H19-$O19)</f>
        <v/>
      </c>
      <c r="Q19" s="176">
        <f>IF(N($N19)=0,"",$P19/$N19)</f>
        <v/>
      </c>
      <c r="R19" s="176">
        <f>IF(N($L19)=0,"",$N19/$L19-1)</f>
        <v/>
      </c>
      <c r="S19" s="176">
        <f>IF(N($K19)=0,"",$N19/$K19-1)</f>
        <v/>
      </c>
      <c r="T19" s="132" t="n"/>
      <c r="U19" s="133">
        <f>IF($N19="","",IFERROR(IF(설정!$C$27&lt;=1,ROUND(IF(설정!$C$26="원가 가산",$N19*(1+IF($T19="",설정!$C$28,$T19)),$N19/(1-IF($T19="",설정!$C$28,$T19))),0),CEILING(IF(설정!$C$26="원가 가산",$N19*(1+IF($T19="",설정!$C$28,$T19)),$N19/(1-IF($T19="",설정!$C$28,$T19))),설정!$C$27)),0))</f>
        <v/>
      </c>
      <c r="V19" s="133">
        <f>IF($N19="","",$N19*$G19)</f>
        <v/>
      </c>
      <c r="W19" s="133">
        <f>IF($P19="","",$P19*$G19)</f>
        <v/>
      </c>
    </row>
    <row r="20">
      <c r="B20" s="171" t="n"/>
      <c r="C20" s="171" t="n"/>
      <c r="D20" s="172">
        <f>IF($C20="","",IFERROR(INDEX(자재판매가산출!$K$6:$K$24,MATCH($C20,자재판매가산출!$C$6:$C$24,0)),""))</f>
        <v/>
      </c>
      <c r="E20" s="173" t="n"/>
      <c r="F20" s="133">
        <f>IF($E20&lt;&gt;"",$E20,IF(N($D20)=0,"",$D20))</f>
        <v/>
      </c>
      <c r="G20" s="174" t="n"/>
      <c r="H20" s="133">
        <f>IF($F20="","",$F20*(1+설정!$C$32))</f>
        <v/>
      </c>
      <c r="I20" s="132" t="n"/>
      <c r="J20" s="132" t="n"/>
      <c r="K20" s="133">
        <f>IF($H20="","",IFERROR(IF(설정!$C$26="원가 가산",$H20*(1+IF($I20="",설정!$C$33,$I20)),$H20/(1-IF($I20="",설정!$C$33,$I20))),0))</f>
        <v/>
      </c>
      <c r="L20" s="133">
        <f>IF($H20="","",IFERROR(IF(설정!$C$27&lt;=1,ROUND(IF(설정!$C$26="원가 가산",$K20*(1+IF($J20="",설정!$C$34,$J20)),$H20/(1-IF($I20="",설정!$C$33,$I20)-IF($J20="",설정!$C$34,$J20))),0),CEILING(IF(설정!$C$26="원가 가산",$K20*(1+IF($J20="",설정!$C$34,$J20)),$H20/(1-IF($I20="",설정!$C$33,$I20)-IF($J20="",설정!$C$34,$J20))),설정!$C$27)),0))</f>
        <v/>
      </c>
      <c r="M20" s="175" t="n"/>
      <c r="N20" s="133">
        <f>IF($L20="","",IF($M20="",$L20,$M20))</f>
        <v/>
      </c>
      <c r="O20" s="133">
        <f>IF($N20="","",IF(설정!$C$26="원가 가산",$H20*IF($I20="",설정!$C$33,$I20),$N20*IF($I20="",설정!$C$33,$I20)))</f>
        <v/>
      </c>
      <c r="P20" s="133">
        <f>IF($N20="","",$N20-$H20-$O20)</f>
        <v/>
      </c>
      <c r="Q20" s="176">
        <f>IF(N($N20)=0,"",$P20/$N20)</f>
        <v/>
      </c>
      <c r="R20" s="176">
        <f>IF(N($L20)=0,"",$N20/$L20-1)</f>
        <v/>
      </c>
      <c r="S20" s="176">
        <f>IF(N($K20)=0,"",$N20/$K20-1)</f>
        <v/>
      </c>
      <c r="T20" s="132" t="n"/>
      <c r="U20" s="133">
        <f>IF($N20="","",IFERROR(IF(설정!$C$27&lt;=1,ROUND(IF(설정!$C$26="원가 가산",$N20*(1+IF($T20="",설정!$C$28,$T20)),$N20/(1-IF($T20="",설정!$C$28,$T20))),0),CEILING(IF(설정!$C$26="원가 가산",$N20*(1+IF($T20="",설정!$C$28,$T20)),$N20/(1-IF($T20="",설정!$C$28,$T20))),설정!$C$27)),0))</f>
        <v/>
      </c>
      <c r="V20" s="133">
        <f>IF($N20="","",$N20*$G20)</f>
        <v/>
      </c>
      <c r="W20" s="133">
        <f>IF($P20="","",$P20*$G20)</f>
        <v/>
      </c>
    </row>
    <row r="21">
      <c r="B21" s="171" t="n"/>
      <c r="C21" s="171" t="n"/>
      <c r="D21" s="172">
        <f>IF($C21="","",IFERROR(INDEX(자재판매가산출!$K$6:$K$24,MATCH($C21,자재판매가산출!$C$6:$C$24,0)),""))</f>
        <v/>
      </c>
      <c r="E21" s="173" t="n"/>
      <c r="F21" s="133">
        <f>IF($E21&lt;&gt;"",$E21,IF(N($D21)=0,"",$D21))</f>
        <v/>
      </c>
      <c r="G21" s="174" t="n"/>
      <c r="H21" s="133">
        <f>IF($F21="","",$F21*(1+설정!$C$32))</f>
        <v/>
      </c>
      <c r="I21" s="132" t="n"/>
      <c r="J21" s="132" t="n"/>
      <c r="K21" s="133">
        <f>IF($H21="","",IFERROR(IF(설정!$C$26="원가 가산",$H21*(1+IF($I21="",설정!$C$33,$I21)),$H21/(1-IF($I21="",설정!$C$33,$I21))),0))</f>
        <v/>
      </c>
      <c r="L21" s="133">
        <f>IF($H21="","",IFERROR(IF(설정!$C$27&lt;=1,ROUND(IF(설정!$C$26="원가 가산",$K21*(1+IF($J21="",설정!$C$34,$J21)),$H21/(1-IF($I21="",설정!$C$33,$I21)-IF($J21="",설정!$C$34,$J21))),0),CEILING(IF(설정!$C$26="원가 가산",$K21*(1+IF($J21="",설정!$C$34,$J21)),$H21/(1-IF($I21="",설정!$C$33,$I21)-IF($J21="",설정!$C$34,$J21))),설정!$C$27)),0))</f>
        <v/>
      </c>
      <c r="M21" s="175" t="n"/>
      <c r="N21" s="133">
        <f>IF($L21="","",IF($M21="",$L21,$M21))</f>
        <v/>
      </c>
      <c r="O21" s="133">
        <f>IF($N21="","",IF(설정!$C$26="원가 가산",$H21*IF($I21="",설정!$C$33,$I21),$N21*IF($I21="",설정!$C$33,$I21)))</f>
        <v/>
      </c>
      <c r="P21" s="133">
        <f>IF($N21="","",$N21-$H21-$O21)</f>
        <v/>
      </c>
      <c r="Q21" s="176">
        <f>IF(N($N21)=0,"",$P21/$N21)</f>
        <v/>
      </c>
      <c r="R21" s="176">
        <f>IF(N($L21)=0,"",$N21/$L21-1)</f>
        <v/>
      </c>
      <c r="S21" s="176">
        <f>IF(N($K21)=0,"",$N21/$K21-1)</f>
        <v/>
      </c>
      <c r="T21" s="132" t="n"/>
      <c r="U21" s="133">
        <f>IF($N21="","",IFERROR(IF(설정!$C$27&lt;=1,ROUND(IF(설정!$C$26="원가 가산",$N21*(1+IF($T21="",설정!$C$28,$T21)),$N21/(1-IF($T21="",설정!$C$28,$T21))),0),CEILING(IF(설정!$C$26="원가 가산",$N21*(1+IF($T21="",설정!$C$28,$T21)),$N21/(1-IF($T21="",설정!$C$28,$T21))),설정!$C$27)),0))</f>
        <v/>
      </c>
      <c r="V21" s="133">
        <f>IF($N21="","",$N21*$G21)</f>
        <v/>
      </c>
      <c r="W21" s="133">
        <f>IF($P21="","",$P21*$G21)</f>
        <v/>
      </c>
    </row>
    <row r="22">
      <c r="B22" s="171" t="n"/>
      <c r="C22" s="171" t="n"/>
      <c r="D22" s="172">
        <f>IF($C22="","",IFERROR(INDEX(자재판매가산출!$K$6:$K$24,MATCH($C22,자재판매가산출!$C$6:$C$24,0)),""))</f>
        <v/>
      </c>
      <c r="E22" s="173" t="n"/>
      <c r="F22" s="133">
        <f>IF($E22&lt;&gt;"",$E22,IF(N($D22)=0,"",$D22))</f>
        <v/>
      </c>
      <c r="G22" s="174" t="n"/>
      <c r="H22" s="133">
        <f>IF($F22="","",$F22*(1+설정!$C$32))</f>
        <v/>
      </c>
      <c r="I22" s="132" t="n"/>
      <c r="J22" s="132" t="n"/>
      <c r="K22" s="133">
        <f>IF($H22="","",IFERROR(IF(설정!$C$26="원가 가산",$H22*(1+IF($I22="",설정!$C$33,$I22)),$H22/(1-IF($I22="",설정!$C$33,$I22))),0))</f>
        <v/>
      </c>
      <c r="L22" s="133">
        <f>IF($H22="","",IFERROR(IF(설정!$C$27&lt;=1,ROUND(IF(설정!$C$26="원가 가산",$K22*(1+IF($J22="",설정!$C$34,$J22)),$H22/(1-IF($I22="",설정!$C$33,$I22)-IF($J22="",설정!$C$34,$J22))),0),CEILING(IF(설정!$C$26="원가 가산",$K22*(1+IF($J22="",설정!$C$34,$J22)),$H22/(1-IF($I22="",설정!$C$33,$I22)-IF($J22="",설정!$C$34,$J22))),설정!$C$27)),0))</f>
        <v/>
      </c>
      <c r="M22" s="175" t="n"/>
      <c r="N22" s="133">
        <f>IF($L22="","",IF($M22="",$L22,$M22))</f>
        <v/>
      </c>
      <c r="O22" s="133">
        <f>IF($N22="","",IF(설정!$C$26="원가 가산",$H22*IF($I22="",설정!$C$33,$I22),$N22*IF($I22="",설정!$C$33,$I22)))</f>
        <v/>
      </c>
      <c r="P22" s="133">
        <f>IF($N22="","",$N22-$H22-$O22)</f>
        <v/>
      </c>
      <c r="Q22" s="176">
        <f>IF(N($N22)=0,"",$P22/$N22)</f>
        <v/>
      </c>
      <c r="R22" s="176">
        <f>IF(N($L22)=0,"",$N22/$L22-1)</f>
        <v/>
      </c>
      <c r="S22" s="176">
        <f>IF(N($K22)=0,"",$N22/$K22-1)</f>
        <v/>
      </c>
      <c r="T22" s="132" t="n"/>
      <c r="U22" s="133">
        <f>IF($N22="","",IFERROR(IF(설정!$C$27&lt;=1,ROUND(IF(설정!$C$26="원가 가산",$N22*(1+IF($T22="",설정!$C$28,$T22)),$N22/(1-IF($T22="",설정!$C$28,$T22))),0),CEILING(IF(설정!$C$26="원가 가산",$N22*(1+IF($T22="",설정!$C$28,$T22)),$N22/(1-IF($T22="",설정!$C$28,$T22))),설정!$C$27)),0))</f>
        <v/>
      </c>
      <c r="V22" s="133">
        <f>IF($N22="","",$N22*$G22)</f>
        <v/>
      </c>
      <c r="W22" s="133">
        <f>IF($P22="","",$P22*$G22)</f>
        <v/>
      </c>
    </row>
    <row r="23">
      <c r="B23" s="171" t="n"/>
      <c r="C23" s="171" t="n"/>
      <c r="D23" s="172">
        <f>IF($C23="","",IFERROR(INDEX(자재판매가산출!$K$6:$K$24,MATCH($C23,자재판매가산출!$C$6:$C$24,0)),""))</f>
        <v/>
      </c>
      <c r="E23" s="173" t="n"/>
      <c r="F23" s="133">
        <f>IF($E23&lt;&gt;"",$E23,IF(N($D23)=0,"",$D23))</f>
        <v/>
      </c>
      <c r="G23" s="174" t="n"/>
      <c r="H23" s="133">
        <f>IF($F23="","",$F23*(1+설정!$C$32))</f>
        <v/>
      </c>
      <c r="I23" s="132" t="n"/>
      <c r="J23" s="132" t="n"/>
      <c r="K23" s="133">
        <f>IF($H23="","",IFERROR(IF(설정!$C$26="원가 가산",$H23*(1+IF($I23="",설정!$C$33,$I23)),$H23/(1-IF($I23="",설정!$C$33,$I23))),0))</f>
        <v/>
      </c>
      <c r="L23" s="133">
        <f>IF($H23="","",IFERROR(IF(설정!$C$27&lt;=1,ROUND(IF(설정!$C$26="원가 가산",$K23*(1+IF($J23="",설정!$C$34,$J23)),$H23/(1-IF($I23="",설정!$C$33,$I23)-IF($J23="",설정!$C$34,$J23))),0),CEILING(IF(설정!$C$26="원가 가산",$K23*(1+IF($J23="",설정!$C$34,$J23)),$H23/(1-IF($I23="",설정!$C$33,$I23)-IF($J23="",설정!$C$34,$J23))),설정!$C$27)),0))</f>
        <v/>
      </c>
      <c r="M23" s="175" t="n"/>
      <c r="N23" s="133">
        <f>IF($L23="","",IF($M23="",$L23,$M23))</f>
        <v/>
      </c>
      <c r="O23" s="133">
        <f>IF($N23="","",IF(설정!$C$26="원가 가산",$H23*IF($I23="",설정!$C$33,$I23),$N23*IF($I23="",설정!$C$33,$I23)))</f>
        <v/>
      </c>
      <c r="P23" s="133">
        <f>IF($N23="","",$N23-$H23-$O23)</f>
        <v/>
      </c>
      <c r="Q23" s="176">
        <f>IF(N($N23)=0,"",$P23/$N23)</f>
        <v/>
      </c>
      <c r="R23" s="176">
        <f>IF(N($L23)=0,"",$N23/$L23-1)</f>
        <v/>
      </c>
      <c r="S23" s="176">
        <f>IF(N($K23)=0,"",$N23/$K23-1)</f>
        <v/>
      </c>
      <c r="T23" s="132" t="n"/>
      <c r="U23" s="133">
        <f>IF($N23="","",IFERROR(IF(설정!$C$27&lt;=1,ROUND(IF(설정!$C$26="원가 가산",$N23*(1+IF($T23="",설정!$C$28,$T23)),$N23/(1-IF($T23="",설정!$C$28,$T23))),0),CEILING(IF(설정!$C$26="원가 가산",$N23*(1+IF($T23="",설정!$C$28,$T23)),$N23/(1-IF($T23="",설정!$C$28,$T23))),설정!$C$27)),0))</f>
        <v/>
      </c>
      <c r="V23" s="133">
        <f>IF($N23="","",$N23*$G23)</f>
        <v/>
      </c>
      <c r="W23" s="133">
        <f>IF($P23="","",$P23*$G23)</f>
        <v/>
      </c>
    </row>
    <row r="24">
      <c r="B24" s="171" t="n"/>
      <c r="C24" s="171" t="n"/>
      <c r="D24" s="172">
        <f>IF($C24="","",IFERROR(INDEX(자재판매가산출!$K$6:$K$24,MATCH($C24,자재판매가산출!$C$6:$C$24,0)),""))</f>
        <v/>
      </c>
      <c r="E24" s="173" t="n"/>
      <c r="F24" s="133">
        <f>IF($E24&lt;&gt;"",$E24,IF(N($D24)=0,"",$D24))</f>
        <v/>
      </c>
      <c r="G24" s="174" t="n"/>
      <c r="H24" s="133">
        <f>IF($F24="","",$F24*(1+설정!$C$32))</f>
        <v/>
      </c>
      <c r="I24" s="132" t="n"/>
      <c r="J24" s="132" t="n"/>
      <c r="K24" s="133">
        <f>IF($H24="","",IFERROR(IF(설정!$C$26="원가 가산",$H24*(1+IF($I24="",설정!$C$33,$I24)),$H24/(1-IF($I24="",설정!$C$33,$I24))),0))</f>
        <v/>
      </c>
      <c r="L24" s="133">
        <f>IF($H24="","",IFERROR(IF(설정!$C$27&lt;=1,ROUND(IF(설정!$C$26="원가 가산",$K24*(1+IF($J24="",설정!$C$34,$J24)),$H24/(1-IF($I24="",설정!$C$33,$I24)-IF($J24="",설정!$C$34,$J24))),0),CEILING(IF(설정!$C$26="원가 가산",$K24*(1+IF($J24="",설정!$C$34,$J24)),$H24/(1-IF($I24="",설정!$C$33,$I24)-IF($J24="",설정!$C$34,$J24))),설정!$C$27)),0))</f>
        <v/>
      </c>
      <c r="M24" s="175" t="n"/>
      <c r="N24" s="133">
        <f>IF($L24="","",IF($M24="",$L24,$M24))</f>
        <v/>
      </c>
      <c r="O24" s="133">
        <f>IF($N24="","",IF(설정!$C$26="원가 가산",$H24*IF($I24="",설정!$C$33,$I24),$N24*IF($I24="",설정!$C$33,$I24)))</f>
        <v/>
      </c>
      <c r="P24" s="133">
        <f>IF($N24="","",$N24-$H24-$O24)</f>
        <v/>
      </c>
      <c r="Q24" s="176">
        <f>IF(N($N24)=0,"",$P24/$N24)</f>
        <v/>
      </c>
      <c r="R24" s="176">
        <f>IF(N($L24)=0,"",$N24/$L24-1)</f>
        <v/>
      </c>
      <c r="S24" s="176">
        <f>IF(N($K24)=0,"",$N24/$K24-1)</f>
        <v/>
      </c>
      <c r="T24" s="132" t="n"/>
      <c r="U24" s="133">
        <f>IF($N24="","",IFERROR(IF(설정!$C$27&lt;=1,ROUND(IF(설정!$C$26="원가 가산",$N24*(1+IF($T24="",설정!$C$28,$T24)),$N24/(1-IF($T24="",설정!$C$28,$T24))),0),CEILING(IF(설정!$C$26="원가 가산",$N24*(1+IF($T24="",설정!$C$28,$T24)),$N24/(1-IF($T24="",설정!$C$28,$T24))),설정!$C$27)),0))</f>
        <v/>
      </c>
      <c r="V24" s="133">
        <f>IF($N24="","",$N24*$G24)</f>
        <v/>
      </c>
      <c r="W24" s="133">
        <f>IF($P24="","",$P24*$G24)</f>
        <v/>
      </c>
    </row>
    <row r="25">
      <c r="B25" s="171" t="n"/>
      <c r="C25" s="171" t="n"/>
      <c r="D25" s="172">
        <f>IF($C25="","",IFERROR(INDEX(자재판매가산출!$K$6:$K$24,MATCH($C25,자재판매가산출!$C$6:$C$24,0)),""))</f>
        <v/>
      </c>
      <c r="E25" s="173" t="n"/>
      <c r="F25" s="133">
        <f>IF($E25&lt;&gt;"",$E25,IF(N($D25)=0,"",$D25))</f>
        <v/>
      </c>
      <c r="G25" s="174" t="n"/>
      <c r="H25" s="133">
        <f>IF($F25="","",$F25*(1+설정!$C$32))</f>
        <v/>
      </c>
      <c r="I25" s="132" t="n"/>
      <c r="J25" s="132" t="n"/>
      <c r="K25" s="133">
        <f>IF($H25="","",IFERROR(IF(설정!$C$26="원가 가산",$H25*(1+IF($I25="",설정!$C$33,$I25)),$H25/(1-IF($I25="",설정!$C$33,$I25))),0))</f>
        <v/>
      </c>
      <c r="L25" s="133">
        <f>IF($H25="","",IFERROR(IF(설정!$C$27&lt;=1,ROUND(IF(설정!$C$26="원가 가산",$K25*(1+IF($J25="",설정!$C$34,$J25)),$H25/(1-IF($I25="",설정!$C$33,$I25)-IF($J25="",설정!$C$34,$J25))),0),CEILING(IF(설정!$C$26="원가 가산",$K25*(1+IF($J25="",설정!$C$34,$J25)),$H25/(1-IF($I25="",설정!$C$33,$I25)-IF($J25="",설정!$C$34,$J25))),설정!$C$27)),0))</f>
        <v/>
      </c>
      <c r="M25" s="175" t="n"/>
      <c r="N25" s="133">
        <f>IF($L25="","",IF($M25="",$L25,$M25))</f>
        <v/>
      </c>
      <c r="O25" s="133">
        <f>IF($N25="","",IF(설정!$C$26="원가 가산",$H25*IF($I25="",설정!$C$33,$I25),$N25*IF($I25="",설정!$C$33,$I25)))</f>
        <v/>
      </c>
      <c r="P25" s="133">
        <f>IF($N25="","",$N25-$H25-$O25)</f>
        <v/>
      </c>
      <c r="Q25" s="176">
        <f>IF(N($N25)=0,"",$P25/$N25)</f>
        <v/>
      </c>
      <c r="R25" s="176">
        <f>IF(N($L25)=0,"",$N25/$L25-1)</f>
        <v/>
      </c>
      <c r="S25" s="176">
        <f>IF(N($K25)=0,"",$N25/$K25-1)</f>
        <v/>
      </c>
      <c r="T25" s="132" t="n"/>
      <c r="U25" s="133">
        <f>IF($N25="","",IFERROR(IF(설정!$C$27&lt;=1,ROUND(IF(설정!$C$26="원가 가산",$N25*(1+IF($T25="",설정!$C$28,$T25)),$N25/(1-IF($T25="",설정!$C$28,$T25))),0),CEILING(IF(설정!$C$26="원가 가산",$N25*(1+IF($T25="",설정!$C$28,$T25)),$N25/(1-IF($T25="",설정!$C$28,$T25))),설정!$C$27)),0))</f>
        <v/>
      </c>
      <c r="V25" s="133">
        <f>IF($N25="","",$N25*$G25)</f>
        <v/>
      </c>
      <c r="W25" s="133">
        <f>IF($P25="","",$P25*$G25)</f>
        <v/>
      </c>
    </row>
    <row r="26">
      <c r="B26" s="147" t="inlineStr">
        <is>
          <t>합계</t>
        </is>
      </c>
      <c r="C26" s="137" t="n"/>
      <c r="D26" s="137" t="n"/>
      <c r="E26" s="137" t="n"/>
      <c r="F26" s="137" t="n"/>
      <c r="G26" s="177">
        <f>SUM(G6:G25)</f>
        <v/>
      </c>
      <c r="H26" s="137" t="n"/>
      <c r="I26" s="137" t="n"/>
      <c r="J26" s="137" t="n"/>
      <c r="K26" s="137" t="n"/>
      <c r="L26" s="137" t="n"/>
      <c r="M26" s="137" t="n"/>
      <c r="N26" s="137" t="n"/>
      <c r="O26" s="137" t="n"/>
      <c r="P26" s="137" t="n"/>
      <c r="Q26" s="178">
        <f>IFERROR(SUM(W6:W25)/SUM(V6:V25),0)</f>
        <v/>
      </c>
      <c r="R26" s="137" t="n"/>
      <c r="S26" s="137" t="n"/>
      <c r="T26" s="137" t="n"/>
      <c r="U26" s="137" t="n"/>
      <c r="V26" s="179">
        <f>SUM(V6:V25)</f>
        <v/>
      </c>
      <c r="W26" s="179">
        <f>SUM(W6:W25)</f>
        <v/>
      </c>
    </row>
    <row r="28">
      <c r="B28" s="138" t="inlineStr">
        <is>
          <t>① 품목코드(C열)를 넣으면 자재판매가산출 시트에서 그 품목의 판매단가를 찾아 D열에 가져옵니다 — 그것이 태성 입고가입니다.</t>
        </is>
      </c>
    </row>
    <row r="29">
      <c r="B29" s="138" t="inlineStr">
        <is>
          <t>② D열이 비면 그 코드가 자재판매가산출에 없다는 뜻입니다. 그럴 때는 E열에 입고가를 직접 넣으세요. E열에 값이 있으면 조회값보다 우선합니다.</t>
        </is>
      </c>
    </row>
    <row r="30">
      <c r="B30" s="138" t="inlineStr">
        <is>
          <t>③ 태성 입고가가 곧 원가입니다. 입고 후 운반비 등이 붙으면 설정 C32(태성 추가비용률)에 넣으세요.</t>
        </is>
      </c>
    </row>
    <row r="31">
      <c r="B31" s="138" t="inlineStr">
        <is>
          <t>④ 판관비율·영업이익률은 설정 C33·C34(태성 기준)를 씁니다. 플로우텍 상품 판매가의 값(C24·C25)과는 별개입니다.</t>
        </is>
      </c>
    </row>
    <row r="32">
      <c r="B32" s="138" t="inlineStr">
        <is>
          <t>⑤ L열 기준 판매가를 영업에 전달하고, 영업이 정한 값을 M열(노란 칸)에 적습니다. 비워 두면 기준가가 그대로 적용됩니다.</t>
        </is>
      </c>
    </row>
    <row r="33">
      <c r="B33" s="139" t="inlineStr">
        <is>
          <t>⑥ 최종 판매가가 BEP 가격보다 낮으면 M열이 빨갛게 표시됩니다 — 팔수록 손해라는 뜻입니다.</t>
        </is>
      </c>
    </row>
    <row r="34">
      <c r="B34" s="138" t="inlineStr">
        <is>
          <t>표시 금액은 모두 부가세 별도입니다.</t>
        </is>
      </c>
    </row>
  </sheetData>
  <conditionalFormatting sqref="M6:M25">
    <cfRule type="expression" priority="1" dxfId="3" stopIfTrue="0">
      <formula>AND(N($M6)&gt;0,N($K6)&gt;0,$M6&lt;$K6)</formula>
    </cfRule>
  </conditionalFormatting>
  <conditionalFormatting sqref="R6:R25">
    <cfRule type="expression" priority="2" dxfId="4" stopIfTrue="0">
      <formula>AND(N($N6)&gt;0,$N6&lt;$L6)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K8"/>
  <sheetViews>
    <sheetView topLeftCell="A2" workbookViewId="0">
      <selection activeCell="N7" sqref="N7"/>
    </sheetView>
  </sheetViews>
  <sheetFormatPr baseColWidth="8" defaultRowHeight="17.4"/>
  <cols>
    <col width="54.59765625" customWidth="1" min="2" max="2"/>
    <col width="5.19921875" customWidth="1" min="3" max="3"/>
    <col width="12.3984375" customWidth="1" min="4" max="4"/>
    <col width="10.5" customWidth="1" min="5" max="6"/>
    <col width="11.19921875" customWidth="1" min="7" max="7"/>
    <col width="12.09765625" customWidth="1" min="8" max="8"/>
  </cols>
  <sheetData>
    <row r="4" ht="31.2" customHeight="1">
      <c r="B4" s="110" t="n"/>
      <c r="C4" s="110" t="inlineStr">
        <is>
          <t>번호</t>
        </is>
      </c>
      <c r="D4" s="110" t="inlineStr">
        <is>
          <t>품명</t>
        </is>
      </c>
      <c r="E4" s="110" t="inlineStr">
        <is>
          <t>몸통</t>
        </is>
      </c>
      <c r="F4" s="140" t="n"/>
      <c r="G4" s="110" t="inlineStr">
        <is>
          <t>행거</t>
        </is>
      </c>
      <c r="H4" s="140" t="n"/>
      <c r="I4" s="110" t="inlineStr">
        <is>
          <t>샤워헤드</t>
        </is>
      </c>
      <c r="J4" s="140" t="n"/>
      <c r="K4" s="110" t="inlineStr">
        <is>
          <t>메탈호스</t>
        </is>
      </c>
    </row>
    <row r="5" ht="90" customHeight="1">
      <c r="B5" s="107" t="e">
        <v>#VALUE!</v>
      </c>
      <c r="C5" s="109" t="n">
        <v>1</v>
      </c>
      <c r="D5" s="109" t="inlineStr">
        <is>
          <t>원홀세면수전</t>
        </is>
      </c>
      <c r="E5" s="109" t="e">
        <v>#VALUE!</v>
      </c>
      <c r="F5" s="141" t="n"/>
      <c r="G5" s="109" t="n"/>
      <c r="H5" s="109" t="n"/>
      <c r="I5" s="109" t="n"/>
      <c r="J5" s="109" t="n"/>
      <c r="K5" s="109" t="n"/>
    </row>
    <row r="6" ht="90" customHeight="1">
      <c r="B6" s="142" t="n"/>
      <c r="C6" s="106" t="n">
        <v>2</v>
      </c>
      <c r="D6" s="106" t="inlineStr">
        <is>
          <t>욕조수전</t>
        </is>
      </c>
      <c r="E6" s="106" t="e">
        <v>#VALUE!</v>
      </c>
      <c r="F6" s="140" t="n"/>
      <c r="G6" s="106" t="e">
        <v>#VALUE!</v>
      </c>
      <c r="H6" s="106" t="e">
        <v>#VALUE!</v>
      </c>
      <c r="I6" s="106" t="e">
        <v>#VALUE!</v>
      </c>
      <c r="J6" s="106" t="e">
        <v>#VALUE!</v>
      </c>
      <c r="K6" s="106" t="e">
        <v>#VALUE!</v>
      </c>
    </row>
    <row r="7" ht="90" customHeight="1">
      <c r="B7" s="142" t="n"/>
      <c r="C7" s="106" t="n">
        <v>3</v>
      </c>
      <c r="D7" s="106" t="inlineStr">
        <is>
          <t>원홀세면수전</t>
        </is>
      </c>
      <c r="E7" s="106" t="e">
        <v>#VALUE!</v>
      </c>
      <c r="F7" s="140" t="n"/>
      <c r="G7" s="106" t="n"/>
      <c r="H7" s="106" t="n"/>
      <c r="I7" s="106" t="n"/>
      <c r="J7" s="106" t="n"/>
      <c r="K7" s="106" t="n"/>
    </row>
    <row r="8" ht="90" customHeight="1">
      <c r="B8" s="142" t="n"/>
      <c r="C8" s="106" t="n">
        <v>4</v>
      </c>
      <c r="D8" s="106" t="inlineStr">
        <is>
          <t>욕조수전</t>
        </is>
      </c>
      <c r="E8" s="106" t="e">
        <v>#VALUE!</v>
      </c>
      <c r="F8" s="106" t="e">
        <v>#VALUE!</v>
      </c>
      <c r="G8" s="106" t="e">
        <v>#VALUE!</v>
      </c>
      <c r="H8" s="106" t="e">
        <v>#VALUE!</v>
      </c>
      <c r="I8" s="106" t="e">
        <v>#VALUE!</v>
      </c>
      <c r="J8" s="106" t="e">
        <v>#VALUE!</v>
      </c>
      <c r="K8" s="106" t="e">
        <v>#VALUE!</v>
      </c>
    </row>
  </sheetData>
  <mergeCells count="7">
    <mergeCell ref="B5:B8"/>
    <mergeCell ref="E4:F4"/>
    <mergeCell ref="G4:H4"/>
    <mergeCell ref="E6:F6"/>
    <mergeCell ref="I4:J4"/>
    <mergeCell ref="E7:F7"/>
    <mergeCell ref="E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G22" sqref="G22"/>
    </sheetView>
  </sheetViews>
  <sheetFormatPr baseColWidth="8" defaultRowHeight="17.4"/>
  <cols>
    <col width="2" customWidth="1" min="1" max="1"/>
    <col width="30" customWidth="1" min="2" max="2"/>
    <col width="16" customWidth="1" min="3" max="3"/>
    <col width="13" customWidth="1" min="4" max="4"/>
    <col width="9" customWidth="1" min="5" max="5"/>
    <col width="13" customWidth="1" min="6" max="6"/>
    <col width="14" customWidth="1" min="7" max="7"/>
    <col width="14" customWidth="1" min="8" max="8"/>
    <col width="12" customWidth="1" min="9" max="10"/>
    <col width="16" customWidth="1" min="10" max="10"/>
    <col width="16" customWidth="1" min="11" max="11"/>
  </cols>
  <sheetData>
    <row r="2" ht="21" customHeight="1">
      <c r="B2" s="84" t="inlineStr">
        <is>
          <t>최종 유통가 보고</t>
        </is>
      </c>
    </row>
    <row r="3">
      <c r="B3" s="162">
        <f>"적용 연월 "&amp;설정!$C$8&amp;"  ·  USD "&amp;TEXT(설정!$C$11,"#,##0.00")&amp;"  ·  CNY "&amp;TEXT(설정!$C$12,"#,##0.00")&amp;"  ·  판관비 "&amp;TEXT(설정!$C$24,"0.0%")&amp;"  ·  목표 영업이익 "&amp;TEXT(설정!$C$25,"0.0%")&amp;"  ·  소비자 마진 "&amp;TEXT(설정!$C$28,"0.0%")&amp;"  ·  "&amp;설정!$C$26&amp;" 방식"</f>
        <v/>
      </c>
    </row>
    <row r="4">
      <c r="B4" s="82">
        <f>"작성일 "&amp;TEXT(TODAY(),"YYYY-MM-DD")&amp;"   |   금액은 모두 부가세 별도"</f>
        <v/>
      </c>
    </row>
    <row r="6" ht="32" customHeight="1">
      <c r="B6" s="128" t="inlineStr">
        <is>
          <t>상품</t>
        </is>
      </c>
      <c r="C6" s="128" t="inlineStr">
        <is>
          <t>품목코드</t>
        </is>
      </c>
      <c r="D6" s="128" t="inlineStr">
        <is>
          <t>매입단가</t>
        </is>
      </c>
      <c r="E6" s="128" t="inlineStr">
        <is>
          <t>수량</t>
        </is>
      </c>
      <c r="F6" s="128" t="inlineStr">
        <is>
          <t>BEP 가격</t>
        </is>
      </c>
      <c r="G6" s="128" t="inlineStr">
        <is>
          <t>최종 유통가</t>
        </is>
      </c>
      <c r="H6" s="128" t="inlineStr">
        <is>
          <t>소비자 판매가</t>
        </is>
      </c>
      <c r="I6" s="128" t="inlineStr">
        <is>
          <t>영업이익률
(실제)</t>
        </is>
      </c>
      <c r="J6" s="128" t="inlineStr">
        <is>
          <t>매출 합계</t>
        </is>
      </c>
      <c r="K6" s="128" t="inlineStr">
        <is>
          <t>영업이익 합계</t>
        </is>
      </c>
    </row>
    <row r="7">
      <c r="B7" s="143">
        <f>IF(상품판매가산출!$B6="","",상품판매가산출!$B6)</f>
        <v/>
      </c>
      <c r="C7" s="143">
        <f>IF(상품판매가산출!$B6="","",상품판매가산출!$C6)</f>
        <v/>
      </c>
      <c r="D7" s="144">
        <f>IF(상품판매가산출!$B6="","",상품판매가산출!$I6)</f>
        <v/>
      </c>
      <c r="E7" s="145">
        <f>IF(상품판매가산출!$B6="","",상품판매가산출!$H6)</f>
        <v/>
      </c>
      <c r="F7" s="144">
        <f>IF(상품판매가산출!$B6="","",상품판매가산출!$L6)</f>
        <v/>
      </c>
      <c r="G7" s="144">
        <f>IF(상품판매가산출!$B6="","",상품판매가산출!$O6)</f>
        <v/>
      </c>
      <c r="H7" s="144">
        <f>IF(상품판매가산출!$B6="","",상품판매가산출!$X6)</f>
        <v/>
      </c>
      <c r="I7" s="146">
        <f>IF(상품판매가산출!$B6="","",상품판매가산출!$R6)</f>
        <v/>
      </c>
      <c r="J7" s="144">
        <f>IF(상품판매가산출!$B6="","",상품판매가산출!$U6)</f>
        <v/>
      </c>
      <c r="K7" s="144">
        <f>IF(상품판매가산출!$B6="","",상품판매가산출!$V6)</f>
        <v/>
      </c>
    </row>
    <row r="8">
      <c r="B8" s="143">
        <f>IF(상품판매가산출!$B7="","",상품판매가산출!$B7)</f>
        <v/>
      </c>
      <c r="C8" s="143">
        <f>IF(상품판매가산출!$B7="","",상품판매가산출!$C7)</f>
        <v/>
      </c>
      <c r="D8" s="144">
        <f>IF(상품판매가산출!$B7="","",상품판매가산출!$I7)</f>
        <v/>
      </c>
      <c r="E8" s="145">
        <f>IF(상품판매가산출!$B7="","",상품판매가산출!$H7)</f>
        <v/>
      </c>
      <c r="F8" s="144">
        <f>IF(상품판매가산출!$B7="","",상품판매가산출!$L7)</f>
        <v/>
      </c>
      <c r="G8" s="144">
        <f>IF(상품판매가산출!$B7="","",상품판매가산출!$O7)</f>
        <v/>
      </c>
      <c r="H8" s="144">
        <f>IF(상품판매가산출!$B7="","",상품판매가산출!$X7)</f>
        <v/>
      </c>
      <c r="I8" s="146">
        <f>IF(상품판매가산출!$B7="","",상품판매가산출!$R7)</f>
        <v/>
      </c>
      <c r="J8" s="144">
        <f>IF(상품판매가산출!$B7="","",상품판매가산출!$U7)</f>
        <v/>
      </c>
      <c r="K8" s="144">
        <f>IF(상품판매가산출!$B7="","",상품판매가산출!$V7)</f>
        <v/>
      </c>
    </row>
    <row r="9">
      <c r="B9" s="143">
        <f>IF(상품판매가산출!$B8="","",상품판매가산출!$B8)</f>
        <v/>
      </c>
      <c r="C9" s="143">
        <f>IF(상품판매가산출!$B8="","",상품판매가산출!$C8)</f>
        <v/>
      </c>
      <c r="D9" s="144">
        <f>IF(상품판매가산출!$B8="","",상품판매가산출!$I8)</f>
        <v/>
      </c>
      <c r="E9" s="145">
        <f>IF(상품판매가산출!$B8="","",상품판매가산출!$H8)</f>
        <v/>
      </c>
      <c r="F9" s="144">
        <f>IF(상품판매가산출!$B8="","",상품판매가산출!$L8)</f>
        <v/>
      </c>
      <c r="G9" s="144">
        <f>IF(상품판매가산출!$B8="","",상품판매가산출!$O8)</f>
        <v/>
      </c>
      <c r="H9" s="144">
        <f>IF(상품판매가산출!$B8="","",상품판매가산출!$X8)</f>
        <v/>
      </c>
      <c r="I9" s="146">
        <f>IF(상품판매가산출!$B8="","",상품판매가산출!$R8)</f>
        <v/>
      </c>
      <c r="J9" s="144">
        <f>IF(상품판매가산출!$B8="","",상품판매가산출!$U8)</f>
        <v/>
      </c>
      <c r="K9" s="144">
        <f>IF(상품판매가산출!$B8="","",상품판매가산출!$V8)</f>
        <v/>
      </c>
    </row>
    <row r="10">
      <c r="B10" s="143">
        <f>IF(상품판매가산출!$B9="","",상품판매가산출!$B9)</f>
        <v/>
      </c>
      <c r="C10" s="143">
        <f>IF(상품판매가산출!$B9="","",상품판매가산출!$C9)</f>
        <v/>
      </c>
      <c r="D10" s="144">
        <f>IF(상품판매가산출!$B9="","",상품판매가산출!$I9)</f>
        <v/>
      </c>
      <c r="E10" s="145">
        <f>IF(상품판매가산출!$B9="","",상품판매가산출!$H9)</f>
        <v/>
      </c>
      <c r="F10" s="144">
        <f>IF(상품판매가산출!$B9="","",상품판매가산출!$L9)</f>
        <v/>
      </c>
      <c r="G10" s="144">
        <f>IF(상품판매가산출!$B9="","",상품판매가산출!$O9)</f>
        <v/>
      </c>
      <c r="H10" s="144">
        <f>IF(상품판매가산출!$B9="","",상품판매가산출!$X9)</f>
        <v/>
      </c>
      <c r="I10" s="146">
        <f>IF(상품판매가산출!$B9="","",상품판매가산출!$R9)</f>
        <v/>
      </c>
      <c r="J10" s="144">
        <f>IF(상품판매가산출!$B9="","",상품판매가산출!$U9)</f>
        <v/>
      </c>
      <c r="K10" s="144">
        <f>IF(상품판매가산출!$B9="","",상품판매가산출!$V9)</f>
        <v/>
      </c>
    </row>
    <row r="11">
      <c r="B11" s="143">
        <f>IF(상품판매가산출!$B10="","",상품판매가산출!$B10)</f>
        <v/>
      </c>
      <c r="C11" s="143">
        <f>IF(상품판매가산출!$B10="","",상품판매가산출!$C10)</f>
        <v/>
      </c>
      <c r="D11" s="144">
        <f>IF(상품판매가산출!$B10="","",상품판매가산출!$I10)</f>
        <v/>
      </c>
      <c r="E11" s="145">
        <f>IF(상품판매가산출!$B10="","",상품판매가산출!$H10)</f>
        <v/>
      </c>
      <c r="F11" s="144">
        <f>IF(상품판매가산출!$B10="","",상품판매가산출!$L10)</f>
        <v/>
      </c>
      <c r="G11" s="144">
        <f>IF(상품판매가산출!$B10="","",상품판매가산출!$O10)</f>
        <v/>
      </c>
      <c r="H11" s="144">
        <f>IF(상품판매가산출!$B10="","",상품판매가산출!$X10)</f>
        <v/>
      </c>
      <c r="I11" s="146">
        <f>IF(상품판매가산출!$B10="","",상품판매가산출!$R10)</f>
        <v/>
      </c>
      <c r="J11" s="144">
        <f>IF(상품판매가산출!$B10="","",상품판매가산출!$U10)</f>
        <v/>
      </c>
      <c r="K11" s="144">
        <f>IF(상품판매가산출!$B10="","",상품판매가산출!$V10)</f>
        <v/>
      </c>
    </row>
    <row r="12">
      <c r="B12" s="143">
        <f>IF(상품판매가산출!$B11="","",상품판매가산출!$B11)</f>
        <v/>
      </c>
      <c r="C12" s="143">
        <f>IF(상품판매가산출!$B11="","",상품판매가산출!$C11)</f>
        <v/>
      </c>
      <c r="D12" s="144">
        <f>IF(상품판매가산출!$B11="","",상품판매가산출!$I11)</f>
        <v/>
      </c>
      <c r="E12" s="145">
        <f>IF(상품판매가산출!$B11="","",상품판매가산출!$H11)</f>
        <v/>
      </c>
      <c r="F12" s="144">
        <f>IF(상품판매가산출!$B11="","",상품판매가산출!$L11)</f>
        <v/>
      </c>
      <c r="G12" s="144">
        <f>IF(상품판매가산출!$B11="","",상품판매가산출!$O11)</f>
        <v/>
      </c>
      <c r="H12" s="144">
        <f>IF(상품판매가산출!$B11="","",상품판매가산출!$X11)</f>
        <v/>
      </c>
      <c r="I12" s="146">
        <f>IF(상품판매가산출!$B11="","",상품판매가산출!$R11)</f>
        <v/>
      </c>
      <c r="J12" s="144">
        <f>IF(상품판매가산출!$B11="","",상품판매가산출!$U11)</f>
        <v/>
      </c>
      <c r="K12" s="144">
        <f>IF(상품판매가산출!$B11="","",상품판매가산출!$V11)</f>
        <v/>
      </c>
    </row>
    <row r="13">
      <c r="B13" s="143">
        <f>IF(상품판매가산출!$B12="","",상품판매가산출!$B12)</f>
        <v/>
      </c>
      <c r="C13" s="143">
        <f>IF(상품판매가산출!$B12="","",상품판매가산출!$C12)</f>
        <v/>
      </c>
      <c r="D13" s="144">
        <f>IF(상품판매가산출!$B12="","",상품판매가산출!$I12)</f>
        <v/>
      </c>
      <c r="E13" s="145">
        <f>IF(상품판매가산출!$B12="","",상품판매가산출!$H12)</f>
        <v/>
      </c>
      <c r="F13" s="144">
        <f>IF(상품판매가산출!$B12="","",상품판매가산출!$L12)</f>
        <v/>
      </c>
      <c r="G13" s="144">
        <f>IF(상품판매가산출!$B12="","",상품판매가산출!$O12)</f>
        <v/>
      </c>
      <c r="H13" s="144">
        <f>IF(상품판매가산출!$B12="","",상품판매가산출!$X12)</f>
        <v/>
      </c>
      <c r="I13" s="146">
        <f>IF(상품판매가산출!$B12="","",상품판매가산출!$R12)</f>
        <v/>
      </c>
      <c r="J13" s="144">
        <f>IF(상품판매가산출!$B12="","",상품판매가산출!$U12)</f>
        <v/>
      </c>
      <c r="K13" s="144">
        <f>IF(상품판매가산출!$B12="","",상품판매가산출!$V12)</f>
        <v/>
      </c>
    </row>
    <row r="14">
      <c r="B14" s="143">
        <f>IF(상품판매가산출!$B13="","",상품판매가산출!$B13)</f>
        <v/>
      </c>
      <c r="C14" s="143">
        <f>IF(상품판매가산출!$B13="","",상품판매가산출!$C13)</f>
        <v/>
      </c>
      <c r="D14" s="144">
        <f>IF(상품판매가산출!$B13="","",상품판매가산출!$I13)</f>
        <v/>
      </c>
      <c r="E14" s="145">
        <f>IF(상품판매가산출!$B13="","",상품판매가산출!$H13)</f>
        <v/>
      </c>
      <c r="F14" s="144">
        <f>IF(상품판매가산출!$B13="","",상품판매가산출!$L13)</f>
        <v/>
      </c>
      <c r="G14" s="144">
        <f>IF(상품판매가산출!$B13="","",상품판매가산출!$O13)</f>
        <v/>
      </c>
      <c r="H14" s="144">
        <f>IF(상품판매가산출!$B13="","",상품판매가산출!$X13)</f>
        <v/>
      </c>
      <c r="I14" s="146">
        <f>IF(상품판매가산출!$B13="","",상품판매가산출!$R13)</f>
        <v/>
      </c>
      <c r="J14" s="144">
        <f>IF(상품판매가산출!$B13="","",상품판매가산출!$U13)</f>
        <v/>
      </c>
      <c r="K14" s="144">
        <f>IF(상품판매가산출!$B13="","",상품판매가산출!$V13)</f>
        <v/>
      </c>
    </row>
    <row r="15">
      <c r="B15" s="143">
        <f>IF(상품판매가산출!$B14="","",상품판매가산출!$B14)</f>
        <v/>
      </c>
      <c r="C15" s="143">
        <f>IF(상품판매가산출!$B14="","",상품판매가산출!$C14)</f>
        <v/>
      </c>
      <c r="D15" s="144">
        <f>IF(상품판매가산출!$B14="","",상품판매가산출!$I14)</f>
        <v/>
      </c>
      <c r="E15" s="145">
        <f>IF(상품판매가산출!$B14="","",상품판매가산출!$H14)</f>
        <v/>
      </c>
      <c r="F15" s="144">
        <f>IF(상품판매가산출!$B14="","",상품판매가산출!$L14)</f>
        <v/>
      </c>
      <c r="G15" s="144">
        <f>IF(상품판매가산출!$B14="","",상품판매가산출!$O14)</f>
        <v/>
      </c>
      <c r="H15" s="144">
        <f>IF(상품판매가산출!$B14="","",상품판매가산출!$X14)</f>
        <v/>
      </c>
      <c r="I15" s="146">
        <f>IF(상품판매가산출!$B14="","",상품판매가산출!$R14)</f>
        <v/>
      </c>
      <c r="J15" s="144">
        <f>IF(상품판매가산출!$B14="","",상품판매가산출!$U14)</f>
        <v/>
      </c>
      <c r="K15" s="144">
        <f>IF(상품판매가산출!$B14="","",상품판매가산출!$V14)</f>
        <v/>
      </c>
    </row>
    <row r="16">
      <c r="B16" s="143">
        <f>IF(상품판매가산출!$B15="","",상품판매가산출!$B15)</f>
        <v/>
      </c>
      <c r="C16" s="143">
        <f>IF(상품판매가산출!$B15="","",상품판매가산출!$C15)</f>
        <v/>
      </c>
      <c r="D16" s="144">
        <f>IF(상품판매가산출!$B15="","",상품판매가산출!$I15)</f>
        <v/>
      </c>
      <c r="E16" s="145">
        <f>IF(상품판매가산출!$B15="","",상품판매가산출!$H15)</f>
        <v/>
      </c>
      <c r="F16" s="144">
        <f>IF(상품판매가산출!$B15="","",상품판매가산출!$L15)</f>
        <v/>
      </c>
      <c r="G16" s="144">
        <f>IF(상품판매가산출!$B15="","",상품판매가산출!$O15)</f>
        <v/>
      </c>
      <c r="H16" s="144">
        <f>IF(상품판매가산출!$B15="","",상품판매가산출!$X15)</f>
        <v/>
      </c>
      <c r="I16" s="146">
        <f>IF(상품판매가산출!$B15="","",상품판매가산출!$R15)</f>
        <v/>
      </c>
      <c r="J16" s="144">
        <f>IF(상품판매가산출!$B15="","",상품판매가산출!$U15)</f>
        <v/>
      </c>
      <c r="K16" s="144">
        <f>IF(상품판매가산출!$B15="","",상품판매가산출!$V15)</f>
        <v/>
      </c>
    </row>
    <row r="17">
      <c r="B17" s="143">
        <f>IF(상품판매가산출!$B16="","",상품판매가산출!$B16)</f>
        <v/>
      </c>
      <c r="C17" s="143">
        <f>IF(상품판매가산출!$B16="","",상품판매가산출!$C16)</f>
        <v/>
      </c>
      <c r="D17" s="144">
        <f>IF(상품판매가산출!$B16="","",상품판매가산출!$I16)</f>
        <v/>
      </c>
      <c r="E17" s="145">
        <f>IF(상품판매가산출!$B16="","",상품판매가산출!$H16)</f>
        <v/>
      </c>
      <c r="F17" s="144">
        <f>IF(상품판매가산출!$B16="","",상품판매가산출!$L16)</f>
        <v/>
      </c>
      <c r="G17" s="144">
        <f>IF(상품판매가산출!$B16="","",상품판매가산출!$O16)</f>
        <v/>
      </c>
      <c r="H17" s="144">
        <f>IF(상품판매가산출!$B16="","",상품판매가산출!$X16)</f>
        <v/>
      </c>
      <c r="I17" s="146">
        <f>IF(상품판매가산출!$B16="","",상품판매가산출!$R16)</f>
        <v/>
      </c>
      <c r="J17" s="144">
        <f>IF(상품판매가산출!$B16="","",상품판매가산출!$U16)</f>
        <v/>
      </c>
      <c r="K17" s="144">
        <f>IF(상품판매가산출!$B16="","",상품판매가산출!$V16)</f>
        <v/>
      </c>
    </row>
    <row r="18">
      <c r="B18" s="143">
        <f>IF(상품판매가산출!$B17="","",상품판매가산출!$B17)</f>
        <v/>
      </c>
      <c r="C18" s="143">
        <f>IF(상품판매가산출!$B17="","",상품판매가산출!$C17)</f>
        <v/>
      </c>
      <c r="D18" s="144">
        <f>IF(상품판매가산출!$B17="","",상품판매가산출!$I17)</f>
        <v/>
      </c>
      <c r="E18" s="145">
        <f>IF(상품판매가산출!$B17="","",상품판매가산출!$H17)</f>
        <v/>
      </c>
      <c r="F18" s="144">
        <f>IF(상품판매가산출!$B17="","",상품판매가산출!$L17)</f>
        <v/>
      </c>
      <c r="G18" s="144">
        <f>IF(상품판매가산출!$B17="","",상품판매가산출!$O17)</f>
        <v/>
      </c>
      <c r="H18" s="144">
        <f>IF(상품판매가산출!$B17="","",상품판매가산출!$X17)</f>
        <v/>
      </c>
      <c r="I18" s="146">
        <f>IF(상품판매가산출!$B17="","",상품판매가산출!$R17)</f>
        <v/>
      </c>
      <c r="J18" s="144">
        <f>IF(상품판매가산출!$B17="","",상품판매가산출!$U17)</f>
        <v/>
      </c>
      <c r="K18" s="144">
        <f>IF(상품판매가산출!$B17="","",상품판매가산출!$V17)</f>
        <v/>
      </c>
    </row>
    <row r="19">
      <c r="B19" s="143">
        <f>IF(상품판매가산출!$B18="","",상품판매가산출!$B18)</f>
        <v/>
      </c>
      <c r="C19" s="143">
        <f>IF(상품판매가산출!$B18="","",상품판매가산출!$C18)</f>
        <v/>
      </c>
      <c r="D19" s="144">
        <f>IF(상품판매가산출!$B18="","",상품판매가산출!$I18)</f>
        <v/>
      </c>
      <c r="E19" s="145">
        <f>IF(상품판매가산출!$B18="","",상품판매가산출!$H18)</f>
        <v/>
      </c>
      <c r="F19" s="144">
        <f>IF(상품판매가산출!$B18="","",상품판매가산출!$L18)</f>
        <v/>
      </c>
      <c r="G19" s="144">
        <f>IF(상품판매가산출!$B18="","",상품판매가산출!$O18)</f>
        <v/>
      </c>
      <c r="H19" s="144">
        <f>IF(상품판매가산출!$B18="","",상품판매가산출!$X18)</f>
        <v/>
      </c>
      <c r="I19" s="146">
        <f>IF(상품판매가산출!$B18="","",상품판매가산출!$R18)</f>
        <v/>
      </c>
      <c r="J19" s="144">
        <f>IF(상품판매가산출!$B18="","",상품판매가산출!$U18)</f>
        <v/>
      </c>
      <c r="K19" s="144">
        <f>IF(상품판매가산출!$B18="","",상품판매가산출!$V18)</f>
        <v/>
      </c>
    </row>
    <row r="20">
      <c r="B20" s="143">
        <f>IF(상품판매가산출!$B19="","",상품판매가산출!$B19)</f>
        <v/>
      </c>
      <c r="C20" s="143">
        <f>IF(상품판매가산출!$B19="","",상품판매가산출!$C19)</f>
        <v/>
      </c>
      <c r="D20" s="144">
        <f>IF(상품판매가산출!$B19="","",상품판매가산출!$I19)</f>
        <v/>
      </c>
      <c r="E20" s="145">
        <f>IF(상품판매가산출!$B19="","",상품판매가산출!$H19)</f>
        <v/>
      </c>
      <c r="F20" s="144">
        <f>IF(상품판매가산출!$B19="","",상품판매가산출!$L19)</f>
        <v/>
      </c>
      <c r="G20" s="144">
        <f>IF(상품판매가산출!$B19="","",상품판매가산출!$O19)</f>
        <v/>
      </c>
      <c r="H20" s="144">
        <f>IF(상품판매가산출!$B19="","",상품판매가산출!$X19)</f>
        <v/>
      </c>
      <c r="I20" s="146">
        <f>IF(상품판매가산출!$B19="","",상품판매가산출!$R19)</f>
        <v/>
      </c>
      <c r="J20" s="144">
        <f>IF(상품판매가산출!$B19="","",상품판매가산출!$U19)</f>
        <v/>
      </c>
      <c r="K20" s="144">
        <f>IF(상품판매가산출!$B19="","",상품판매가산출!$V19)</f>
        <v/>
      </c>
    </row>
    <row r="21">
      <c r="B21" s="143">
        <f>IF(상품판매가산출!$B20="","",상품판매가산출!$B20)</f>
        <v/>
      </c>
      <c r="C21" s="143">
        <f>IF(상품판매가산출!$B20="","",상품판매가산출!$C20)</f>
        <v/>
      </c>
      <c r="D21" s="144">
        <f>IF(상품판매가산출!$B20="","",상품판매가산출!$I20)</f>
        <v/>
      </c>
      <c r="E21" s="145">
        <f>IF(상품판매가산출!$B20="","",상품판매가산출!$H20)</f>
        <v/>
      </c>
      <c r="F21" s="144">
        <f>IF(상품판매가산출!$B20="","",상품판매가산출!$L20)</f>
        <v/>
      </c>
      <c r="G21" s="144">
        <f>IF(상품판매가산출!$B20="","",상품판매가산출!$O20)</f>
        <v/>
      </c>
      <c r="H21" s="144">
        <f>IF(상품판매가산출!$B20="","",상품판매가산출!$X20)</f>
        <v/>
      </c>
      <c r="I21" s="146">
        <f>IF(상품판매가산출!$B20="","",상품판매가산출!$R20)</f>
        <v/>
      </c>
      <c r="J21" s="144">
        <f>IF(상품판매가산출!$B20="","",상품판매가산출!$U20)</f>
        <v/>
      </c>
      <c r="K21" s="144">
        <f>IF(상품판매가산출!$B20="","",상품판매가산출!$V20)</f>
        <v/>
      </c>
    </row>
    <row r="22">
      <c r="B22" s="143">
        <f>IF(상품판매가산출!$B21="","",상품판매가산출!$B21)</f>
        <v/>
      </c>
      <c r="C22" s="143">
        <f>IF(상품판매가산출!$B21="","",상품판매가산출!$C21)</f>
        <v/>
      </c>
      <c r="D22" s="144">
        <f>IF(상품판매가산출!$B21="","",상품판매가산출!$I21)</f>
        <v/>
      </c>
      <c r="E22" s="145">
        <f>IF(상품판매가산출!$B21="","",상품판매가산출!$H21)</f>
        <v/>
      </c>
      <c r="F22" s="144">
        <f>IF(상품판매가산출!$B21="","",상품판매가산출!$L21)</f>
        <v/>
      </c>
      <c r="G22" s="144">
        <f>IF(상품판매가산출!$B21="","",상품판매가산출!$O21)</f>
        <v/>
      </c>
      <c r="H22" s="144">
        <f>IF(상품판매가산출!$B21="","",상품판매가산출!$X21)</f>
        <v/>
      </c>
      <c r="I22" s="146">
        <f>IF(상품판매가산출!$B21="","",상품판매가산출!$R21)</f>
        <v/>
      </c>
      <c r="J22" s="144">
        <f>IF(상품판매가산출!$B21="","",상품판매가산출!$U21)</f>
        <v/>
      </c>
      <c r="K22" s="144">
        <f>IF(상품판매가산출!$B21="","",상품판매가산출!$V21)</f>
        <v/>
      </c>
    </row>
    <row r="23">
      <c r="B23" s="143">
        <f>IF(상품판매가산출!$B22="","",상품판매가산출!$B22)</f>
        <v/>
      </c>
      <c r="C23" s="143">
        <f>IF(상품판매가산출!$B22="","",상품판매가산출!$C22)</f>
        <v/>
      </c>
      <c r="D23" s="144">
        <f>IF(상품판매가산출!$B22="","",상품판매가산출!$I22)</f>
        <v/>
      </c>
      <c r="E23" s="145">
        <f>IF(상품판매가산출!$B22="","",상품판매가산출!$H22)</f>
        <v/>
      </c>
      <c r="F23" s="144">
        <f>IF(상품판매가산출!$B22="","",상품판매가산출!$L22)</f>
        <v/>
      </c>
      <c r="G23" s="144">
        <f>IF(상품판매가산출!$B22="","",상품판매가산출!$O22)</f>
        <v/>
      </c>
      <c r="H23" s="144">
        <f>IF(상품판매가산출!$B22="","",상품판매가산출!$X22)</f>
        <v/>
      </c>
      <c r="I23" s="146">
        <f>IF(상품판매가산출!$B22="","",상품판매가산출!$R22)</f>
        <v/>
      </c>
      <c r="J23" s="144">
        <f>IF(상품판매가산출!$B22="","",상품판매가산출!$U22)</f>
        <v/>
      </c>
      <c r="K23" s="144">
        <f>IF(상품판매가산출!$B22="","",상품판매가산출!$V22)</f>
        <v/>
      </c>
    </row>
    <row r="24">
      <c r="B24" s="143">
        <f>IF(상품판매가산출!$B23="","",상품판매가산출!$B23)</f>
        <v/>
      </c>
      <c r="C24" s="143">
        <f>IF(상품판매가산출!$B23="","",상품판매가산출!$C23)</f>
        <v/>
      </c>
      <c r="D24" s="144">
        <f>IF(상품판매가산출!$B23="","",상품판매가산출!$I23)</f>
        <v/>
      </c>
      <c r="E24" s="145">
        <f>IF(상품판매가산출!$B23="","",상품판매가산출!$H23)</f>
        <v/>
      </c>
      <c r="F24" s="144">
        <f>IF(상품판매가산출!$B23="","",상품판매가산출!$L23)</f>
        <v/>
      </c>
      <c r="G24" s="144">
        <f>IF(상품판매가산출!$B23="","",상품판매가산출!$O23)</f>
        <v/>
      </c>
      <c r="H24" s="144">
        <f>IF(상품판매가산출!$B23="","",상품판매가산출!$X23)</f>
        <v/>
      </c>
      <c r="I24" s="146">
        <f>IF(상품판매가산출!$B23="","",상품판매가산출!$R23)</f>
        <v/>
      </c>
      <c r="J24" s="144">
        <f>IF(상품판매가산출!$B23="","",상품판매가산출!$U23)</f>
        <v/>
      </c>
      <c r="K24" s="144">
        <f>IF(상품판매가산출!$B23="","",상품판매가산출!$V23)</f>
        <v/>
      </c>
    </row>
    <row r="25">
      <c r="B25" s="143">
        <f>IF(상품판매가산출!$B24="","",상품판매가산출!$B24)</f>
        <v/>
      </c>
      <c r="C25" s="143">
        <f>IF(상품판매가산출!$B24="","",상품판매가산출!$C24)</f>
        <v/>
      </c>
      <c r="D25" s="144">
        <f>IF(상품판매가산출!$B24="","",상품판매가산출!$I24)</f>
        <v/>
      </c>
      <c r="E25" s="145">
        <f>IF(상품판매가산출!$B24="","",상품판매가산출!$H24)</f>
        <v/>
      </c>
      <c r="F25" s="144">
        <f>IF(상품판매가산출!$B24="","",상품판매가산출!$L24)</f>
        <v/>
      </c>
      <c r="G25" s="144">
        <f>IF(상품판매가산출!$B24="","",상품판매가산출!$O24)</f>
        <v/>
      </c>
      <c r="H25" s="144">
        <f>IF(상품판매가산출!$B24="","",상품판매가산출!$X24)</f>
        <v/>
      </c>
      <c r="I25" s="146">
        <f>IF(상품판매가산출!$B24="","",상품판매가산출!$R24)</f>
        <v/>
      </c>
      <c r="J25" s="144">
        <f>IF(상품판매가산출!$B24="","",상품판매가산출!$U24)</f>
        <v/>
      </c>
      <c r="K25" s="144">
        <f>IF(상품판매가산출!$B24="","",상품판매가산출!$V24)</f>
        <v/>
      </c>
    </row>
    <row r="26">
      <c r="B26" s="143">
        <f>IF(상품판매가산출!$B25="","",상품판매가산출!$B25)</f>
        <v/>
      </c>
      <c r="C26" s="143">
        <f>IF(상품판매가산출!$B25="","",상품판매가산출!$C25)</f>
        <v/>
      </c>
      <c r="D26" s="144">
        <f>IF(상품판매가산출!$B25="","",상품판매가산출!$I25)</f>
        <v/>
      </c>
      <c r="E26" s="145">
        <f>IF(상품판매가산출!$B25="","",상품판매가산출!$H25)</f>
        <v/>
      </c>
      <c r="F26" s="144">
        <f>IF(상품판매가산출!$B25="","",상품판매가산출!$L25)</f>
        <v/>
      </c>
      <c r="G26" s="144">
        <f>IF(상품판매가산출!$B25="","",상품판매가산출!$O25)</f>
        <v/>
      </c>
      <c r="H26" s="144">
        <f>IF(상품판매가산출!$B25="","",상품판매가산출!$X25)</f>
        <v/>
      </c>
      <c r="I26" s="146">
        <f>IF(상품판매가산출!$B25="","",상품판매가산출!$R25)</f>
        <v/>
      </c>
      <c r="J26" s="144">
        <f>IF(상품판매가산출!$B25="","",상품판매가산출!$U25)</f>
        <v/>
      </c>
      <c r="K26" s="144">
        <f>IF(상품판매가산출!$B25="","",상품판매가산출!$V25)</f>
        <v/>
      </c>
    </row>
    <row r="27">
      <c r="B27" s="147" t="inlineStr">
        <is>
          <t>합계</t>
        </is>
      </c>
      <c r="C27" s="137" t="n"/>
      <c r="D27" s="137" t="n"/>
      <c r="E27" s="148">
        <f>SUM(E7:E26)</f>
        <v/>
      </c>
      <c r="F27" s="137" t="n"/>
      <c r="G27" s="137" t="n"/>
      <c r="H27" s="149" t="n"/>
      <c r="I27" s="149">
        <f>IFERROR(SUM(K7:K26)/SUM(J7:J26),0)</f>
        <v/>
      </c>
      <c r="J27" s="150">
        <f>SUM(J7:J26)</f>
        <v/>
      </c>
      <c r="K27" s="150">
        <f>SUM(K7:K26)</f>
        <v/>
      </c>
    </row>
    <row r="28"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</row>
    <row r="29">
      <c r="B29" s="152" t="inlineStr">
        <is>
          <t>이 시트는 상품판매가산출 시트를 그대로 비추기만 합니다. 값은 그쪽에서 고치세요.</t>
        </is>
      </c>
      <c r="C29" s="151" t="n"/>
      <c r="D29" s="151" t="n"/>
      <c r="E29" s="151" t="n"/>
      <c r="F29" s="151" t="n"/>
      <c r="G29" s="151" t="n"/>
      <c r="H29" s="151" t="n"/>
      <c r="I29" s="151" t="n"/>
      <c r="J29" s="151" t="n"/>
      <c r="K29" s="151" t="n"/>
    </row>
    <row r="30">
      <c r="B30" s="152" t="inlineStr">
        <is>
          <t>최종 유통가는 영업이 입력한 값이며, 비어 있으면 기준 유통가가 그대로 적용된 것입니다.</t>
        </is>
      </c>
      <c r="C30" s="151" t="n"/>
      <c r="D30" s="151" t="n"/>
      <c r="E30" s="151" t="n"/>
      <c r="F30" s="151" t="n"/>
      <c r="G30" s="151" t="n"/>
      <c r="H30" s="151" t="n"/>
      <c r="I30" s="151" t="n"/>
      <c r="J30" s="151" t="n"/>
      <c r="K30" s="151" t="n"/>
    </row>
    <row r="31">
      <c r="B31" s="152" t="inlineStr">
        <is>
          <t>소비자 판매가는 최종 유통가에 소비자 마진율을 얹은 값입니다. 품목별로 다르면 상품판매가산출 W열에 넣으세요.</t>
        </is>
      </c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</row>
    <row r="32">
      <c r="B32" s="152" t="inlineStr">
        <is>
          <t>매입단가는 부대비용까지 더한 개당 매입원가입니다.</t>
        </is>
      </c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</row>
    <row r="33">
      <c r="B33" s="152" t="inlineStr">
        <is>
          <t>매출 합계 · 영업이익 합계는 최종 유통가 기준이며 소비자 판매가는 반영되지 않습니다.</t>
        </is>
      </c>
      <c r="C33" s="151" t="n"/>
      <c r="D33" s="151" t="n"/>
      <c r="E33" s="151" t="n"/>
      <c r="F33" s="151" t="n"/>
      <c r="G33" s="151" t="n"/>
      <c r="H33" s="151" t="n"/>
      <c r="I33" s="151" t="n"/>
      <c r="J33" s="151" t="n"/>
      <c r="K33" s="151" t="n"/>
    </row>
    <row r="34">
      <c r="B34" s="152" t="inlineStr">
        <is>
          <t>빈 줄을 감추려면 머리글의 필터에서 '(필드 값 없음)' 체크를 해제하세요.</t>
        </is>
      </c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</row>
    <row r="35">
      <c r="B35" s="153" t="inlineStr">
        <is>
          <t>최종 유통가가 BEP 가격보다 낮으면 빨갛게 표시됩니다 — 팔수록 손해입니다.</t>
        </is>
      </c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</row>
    <row r="36"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</row>
    <row r="37"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</row>
    <row r="38"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</row>
    <row r="39"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</row>
    <row r="40"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</row>
  </sheetData>
  <autoFilter ref="B6:K26"/>
  <conditionalFormatting sqref="G7:G26">
    <cfRule type="expression" priority="1" dxfId="3" stopIfTrue="0">
      <formula>AND(N($G7)&gt;0,N($F7)&gt;0,$G7&lt;$F7)</formula>
    </cfRule>
  </conditionalFormatting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62"/>
  <sheetViews>
    <sheetView showGridLines="0" workbookViewId="0">
      <selection activeCell="E45" sqref="E45"/>
    </sheetView>
  </sheetViews>
  <sheetFormatPr baseColWidth="8" defaultRowHeight="17.4"/>
  <cols>
    <col width="3.69921875" customWidth="1" min="1" max="1"/>
    <col width="104" customWidth="1" min="2" max="2"/>
  </cols>
  <sheetData>
    <row r="1" ht="15" customHeight="1"/>
    <row r="2" ht="21" customHeight="1">
      <c r="B2" s="1" t="inlineStr">
        <is>
          <t>사용 안내</t>
        </is>
      </c>
    </row>
    <row r="3" ht="9" customHeight="1" thickBot="1">
      <c r="B3" s="2" t="n"/>
    </row>
    <row r="4">
      <c r="B4" s="9" t="inlineStr">
        <is>
          <t>1. 매달 할 일 — 환율 갱신</t>
        </is>
      </c>
    </row>
    <row r="5">
      <c r="B5" s="6" t="inlineStr">
        <is>
          <t>① 서울외국환중개 월평균 매매기준율 페이지를 엽니다.</t>
        </is>
      </c>
    </row>
    <row r="6">
      <c r="B6" s="6" t="inlineStr">
        <is>
          <t xml:space="preserve">   http://www.smbs.biz/ExRate/MonAvgStdExRate.jsp</t>
        </is>
      </c>
    </row>
    <row r="7">
      <c r="B7" s="6" t="inlineStr">
        <is>
          <t>② 표에서 해당 월의 미국(USD)과 중국(CNY) 값을 확인합니다.</t>
        </is>
      </c>
    </row>
    <row r="8">
      <c r="B8" s="6" t="inlineStr">
        <is>
          <t>③ [월평균환율] 시트에 한 줄 추가합니다. 연월은 2026-08 처럼 텍스트로 입력하세요.</t>
        </is>
      </c>
    </row>
    <row r="9">
      <c r="B9" s="6" t="inlineStr">
        <is>
          <t>④ 끝입니다. 오늘이 9월이면 8월 값이 자동으로 잡힙니다.</t>
        </is>
      </c>
    </row>
    <row r="10">
      <c r="B10" s="6" t="n"/>
    </row>
    <row r="11">
      <c r="B11" s="10" t="inlineStr">
        <is>
          <t>2. 자동으로 받아오려면 — 파워쿼리 (Windows 엑셀)</t>
        </is>
      </c>
    </row>
    <row r="12">
      <c r="B12" s="6" t="inlineStr">
        <is>
          <t>① [데이터] 탭 → [데이터 가져오기] → [기타 원본에서] → [웹]</t>
        </is>
      </c>
    </row>
    <row r="13">
      <c r="B13" s="6" t="inlineStr">
        <is>
          <t>② 위 주소를 넣고 [확인] → 탐색 창에서 월평균 표를 고른 뒤 [데이터 변환]</t>
        </is>
      </c>
    </row>
    <row r="14">
      <c r="B14" s="6" t="inlineStr">
        <is>
          <t>③ 연월 · USD · CNY 열만 남기고, 연월을 텍스트로 바꾼 뒤 [닫기 및 로드]</t>
        </is>
      </c>
    </row>
    <row r="15">
      <c r="B15" s="6" t="inlineStr">
        <is>
          <t>④ 이후에는 [데이터] → [모두 새로 고침] 한 번이면 갱신됩니다.</t>
        </is>
      </c>
    </row>
    <row r="16">
      <c r="B16" s="7" t="inlineStr">
        <is>
          <t>※ 이 절차는 실제 사이트에서 확인하지 못했습니다. 사이트 표 구조에 따라 ③단계 열 이름이 다를 수 있고,</t>
        </is>
      </c>
    </row>
    <row r="17">
      <c r="B17" s="7" t="inlineStr">
        <is>
          <t xml:space="preserve">   맥 엑셀은 웹 커넥터 기능이 제한됩니다. 잘 안 되면 위 1번 수동 입력으로 충분합니다.</t>
        </is>
      </c>
    </row>
    <row r="18">
      <c r="B18" s="6" t="n"/>
    </row>
    <row r="19">
      <c r="B19" s="10" t="inlineStr">
        <is>
          <t>3. 계산 흐름</t>
        </is>
      </c>
    </row>
    <row r="20">
      <c r="B20" s="6" t="inlineStr">
        <is>
          <t>외화 단가 × 환율 = 원화 환산가</t>
        </is>
      </c>
    </row>
    <row r="21">
      <c r="B21" s="6" t="inlineStr">
        <is>
          <t>원화 환산가 × (1 + 부대비용률) = 입고원가</t>
        </is>
      </c>
    </row>
    <row r="22">
      <c r="B22" s="6" t="inlineStr">
        <is>
          <t>입고원가 × (1 + 이윤율)  ← 원가 가산 방식</t>
        </is>
      </c>
    </row>
    <row r="23">
      <c r="B23" s="6" t="inlineStr">
        <is>
          <t>입고원가 ÷ (1 − 이윤율)  ← 판매가 마진 방식</t>
        </is>
      </c>
    </row>
    <row r="24">
      <c r="B24" s="6" t="inlineStr">
        <is>
          <t>→ 절상 단위로 올림 = 판매단가</t>
        </is>
      </c>
    </row>
    <row r="25">
      <c r="B25" s="6" t="n"/>
    </row>
    <row r="26">
      <c r="B26" s="10" t="inlineStr">
        <is>
          <t>4. 이윤 30%의 두 가지 뜻 — 하나로 고정하세요</t>
        </is>
      </c>
    </row>
    <row r="27">
      <c r="B27" s="6" t="inlineStr">
        <is>
          <t>원가 가산 30%   : 입고원가 10,000원 → 판매가 13,000원 (판매가 대비 마진 23.1%)</t>
        </is>
      </c>
    </row>
    <row r="28">
      <c r="B28" s="6" t="inlineStr">
        <is>
          <t>판매가 마진 30% : 입고원가 10,000원 → 판매가 14,286원 (원가 대비 42.9%)</t>
        </is>
      </c>
    </row>
    <row r="29">
      <c r="B29" s="6" t="inlineStr">
        <is>
          <t>회계상 매출총이익률은 매출 기준이라, 원가에 30%를 붙이면 장부에는 23.1%로 찍힙니다.</t>
        </is>
      </c>
    </row>
    <row r="30">
      <c r="B30" s="6" t="n"/>
    </row>
    <row r="31">
      <c r="B31" s="10" t="inlineStr">
        <is>
          <t>5. 상품 판매가 (상품판매가 시트) — 수입품 · 국내구매품 유통</t>
        </is>
      </c>
    </row>
    <row r="32">
      <c r="B32" s="6" t="inlineStr">
        <is>
          <t>매입원가 → (판관비) → BEP 가격 → (영업이익) → 기준 유통가 → 영업이 최종 유통가 결정</t>
        </is>
      </c>
    </row>
    <row r="33">
      <c r="B33" s="6" t="n"/>
    </row>
    <row r="34">
      <c r="B34" s="6" t="inlineStr">
        <is>
          <t>① 매입원가</t>
        </is>
      </c>
    </row>
    <row r="35">
      <c r="B35" s="6" t="inlineStr">
        <is>
          <t xml:space="preserve">   수입품: 외화 단가 × 환율 × (1 + 수입 부대비용률)</t>
        </is>
      </c>
    </row>
    <row r="36">
      <c r="B36" s="6" t="inlineStr">
        <is>
          <t xml:space="preserve">   국내구매품: 원화 매입단가 × (1 + 국내 부대비용률)</t>
        </is>
      </c>
    </row>
    <row r="37">
      <c r="B37" s="6" t="inlineStr">
        <is>
          <t>② BEP 가격 — 팔아도 남지도 밑지지도 않는 가격. 이 밑으로 내려가면 손해입니다.</t>
        </is>
      </c>
    </row>
    <row r="38">
      <c r="B38" s="6" t="inlineStr">
        <is>
          <t xml:space="preserve">   매출 대비 방식: 매입원가 ÷ (1 − 판관비율)</t>
        </is>
      </c>
    </row>
    <row r="39">
      <c r="B39" s="6" t="inlineStr">
        <is>
          <t xml:space="preserve">   원가 가산 방식: 매입원가 × (1 + 판관비율)</t>
        </is>
      </c>
    </row>
    <row r="40">
      <c r="B40" s="6" t="inlineStr">
        <is>
          <t>③ 기준 유통가 — BEP에 목표 영업이익을 얹은 값. 영업에 전달하는 가격입니다.</t>
        </is>
      </c>
    </row>
    <row r="41">
      <c r="B41" s="6" t="inlineStr">
        <is>
          <t xml:space="preserve">   매출 대비 방식: 매입원가 ÷ (1 − 판관비율 − 영업이익률)</t>
        </is>
      </c>
    </row>
    <row r="42">
      <c r="B42" s="6" t="inlineStr">
        <is>
          <t xml:space="preserve">   원가 가산 방식: BEP 가격 × (1 + 영업이익률)</t>
        </is>
      </c>
    </row>
    <row r="43">
      <c r="B43" s="6" t="inlineStr">
        <is>
          <t>④ 최종 유통가 — 영업이 협상해 정한 값을 노란 칸(L열)에 적습니다.</t>
        </is>
      </c>
    </row>
    <row r="44">
      <c r="B44" s="6" t="inlineStr">
        <is>
          <t xml:space="preserve">   비워 두면 기준 유통가가 그대로 적용되고, 적어 넣으면 실제 영업이익률이 즉시 다시 계산됩니다.</t>
        </is>
      </c>
    </row>
    <row r="45">
      <c r="B45" s="6" t="inlineStr">
        <is>
          <t xml:space="preserve">   BEP보다 낮게 적으면 그 칸이 빨갛게 바뀝니다.</t>
        </is>
      </c>
    </row>
    <row r="46">
      <c r="B46" s="6" t="n"/>
    </row>
    <row r="47">
      <c r="B47" s="6" t="inlineStr">
        <is>
          <t>두 계산 방식의 차이 (매입원가 100,000원 · 판관비 25% · 영업이익 10% 기준)</t>
        </is>
      </c>
    </row>
    <row r="48">
      <c r="B48" s="6" t="inlineStr">
        <is>
          <t xml:space="preserve">   매출 대비: BEP 133,333원 → 기준 유통가 153,846원 (영업이익률 정확히 10%)</t>
        </is>
      </c>
    </row>
    <row r="49">
      <c r="B49" s="6" t="inlineStr">
        <is>
          <t xml:space="preserve">   원가 가산: BEP 125,000원 → 기준 유통가 137,500원 (실제 영업이익률 9.1%)</t>
        </is>
      </c>
    </row>
    <row r="50">
      <c r="B50" s="6" t="inlineStr">
        <is>
          <t xml:space="preserve">   BEP를 '영업이익 0원인 지점'으로 쓰시려면 매출 대비 방식이 맞습니다.</t>
        </is>
      </c>
    </row>
    <row r="51">
      <c r="B51" s="6" t="n"/>
    </row>
    <row r="52">
      <c r="B52" s="10" t="inlineStr">
        <is>
          <t>6. 두 판매가 시트의 차이</t>
        </is>
      </c>
    </row>
    <row r="53">
      <c r="B53" s="6" t="inlineStr">
        <is>
          <t>판매가산출 시트 : 수입 자재를 태성정밀에 공급하는 가격. 부대비용 + 이윤으로 단순 계산.</t>
        </is>
      </c>
    </row>
    <row r="54">
      <c r="B54" s="6" t="inlineStr">
        <is>
          <t>상품판매가 시트 : 수입품·국내구매품을 유통하는 가격. 판관비를 태워 BEP를 먼저 잡습니다.</t>
        </is>
      </c>
    </row>
    <row r="55">
      <c r="B55" s="6" t="n"/>
    </row>
    <row r="56">
      <c r="B56" s="10" t="inlineStr">
        <is>
          <t>7. 확인이 필요한 항목</t>
        </is>
      </c>
    </row>
    <row r="57">
      <c r="B57" s="6" t="inlineStr">
        <is>
          <t>· 부대비용 8%는 물품대에 일괄 적용됩니다. 관세는 HS코드별, 운임은 중량·부피 기준이라</t>
        </is>
      </c>
    </row>
    <row r="58">
      <c r="B58" s="6" t="inlineStr">
        <is>
          <t xml:space="preserve">  품목별 편차가 크면 통관비·운임을 실비로 분리하는 편이 정확합니다.</t>
        </is>
      </c>
    </row>
    <row r="59">
      <c r="B59" s="6" t="inlineStr">
        <is>
          <t>· 환율 기준 시점(매입일 / 통관 과세환율 / 결제일)을 정해야 재무 대사가 맞습니다.</t>
        </is>
      </c>
    </row>
    <row r="60">
      <c r="B60" s="6" t="inlineStr">
        <is>
          <t>· 판관비율 25%는 임의의 출발값입니다. 실제 손익계산서의 판관비 ÷ 매출액으로 바꿔 주세요.</t>
        </is>
      </c>
    </row>
    <row r="61">
      <c r="B61" s="6" t="inlineStr">
        <is>
          <t>· 판관비를 품목별로 배부할지(매출 비례 / 물량 비례) 정해 두면 품목별 H열로 조정할 수 있습니다.</t>
        </is>
      </c>
    </row>
    <row r="62" ht="18" customHeight="1" thickBot="1">
      <c r="B62" s="8" t="inlineStr">
        <is>
          <t>· 이 파일의 환율과 품목은 모두 예시입니다. 실제 값으로 교체한 뒤 사용하세요.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C20" sqref="C20"/>
    </sheetView>
  </sheetViews>
  <sheetFormatPr baseColWidth="8" defaultRowHeight="17.4"/>
  <cols>
    <col width="3.69921875" customWidth="1" min="1" max="1"/>
    <col width="18.296875" customWidth="1" min="2" max="2"/>
    <col width="12.69921875" customWidth="1" min="3" max="3"/>
    <col width="81.3984375" customWidth="1" min="4" max="4"/>
  </cols>
  <sheetData>
    <row r="1" ht="15" customHeight="1"/>
    <row r="2" ht="21" customHeight="1">
      <c r="B2" s="1" t="inlineStr">
        <is>
          <t>수입자재 판매가 산출 — 설정</t>
        </is>
      </c>
    </row>
    <row r="3">
      <c r="B3" s="4" t="inlineStr">
        <is>
          <t>플로우텍 수입 → 태성정밀 공급 · 모든 금액 부가세 별도</t>
        </is>
      </c>
    </row>
    <row r="4" ht="9.6" customHeight="1" thickBot="1"/>
    <row r="5">
      <c r="B5" s="42" t="inlineStr">
        <is>
          <t>■ 환율</t>
        </is>
      </c>
      <c r="C5" s="11" t="n"/>
      <c r="D5" s="12" t="n"/>
    </row>
    <row r="6">
      <c r="B6" s="13" t="inlineStr">
        <is>
          <t>기준 선택</t>
        </is>
      </c>
      <c r="C6" s="30" t="inlineStr">
        <is>
          <t>전월 평균</t>
        </is>
      </c>
      <c r="D6" s="26" t="inlineStr">
        <is>
          <t>전월 평균 / 당월 평균 / 직접 입력 중에서 고릅니다.</t>
        </is>
      </c>
    </row>
    <row r="7">
      <c r="B7" s="13" t="inlineStr">
        <is>
          <t>대상 월(날짜)</t>
        </is>
      </c>
      <c r="C7" s="154">
        <f>EOMONTH(TODAY(),IF($C$6="당월 평균",0,-1))</f>
        <v/>
      </c>
      <c r="D7" s="26" t="inlineStr">
        <is>
          <t>오늘 날짜에서 자동 계산됩니다. 손대지 마세요.</t>
        </is>
      </c>
    </row>
    <row r="8">
      <c r="B8" s="13" t="inlineStr">
        <is>
          <t>적용 연월</t>
        </is>
      </c>
      <c r="C8" s="32">
        <f>IF($C$6="직접 입력",$C$9,RIGHT("0000"&amp;YEAR($C$7),4)&amp;"-"&amp;RIGHT("00"&amp;MONTH($C$7),2))</f>
        <v/>
      </c>
      <c r="D8" s="26" t="inlineStr">
        <is>
          <t>월평균환율 시트에서 이 연월을 찾아 환율을 가져옵니다.</t>
        </is>
      </c>
    </row>
    <row r="9">
      <c r="B9" s="13" t="inlineStr">
        <is>
          <t>직접 지정 연월</t>
        </is>
      </c>
      <c r="C9" s="33" t="inlineStr">
        <is>
          <t>2026-08</t>
        </is>
      </c>
      <c r="D9" s="26" t="inlineStr">
        <is>
          <t>기준 선택이 "직접 입력"일 때만 사용합니다. YYYY-MM 형식.</t>
        </is>
      </c>
    </row>
    <row r="10">
      <c r="B10" s="34" t="n"/>
      <c r="C10" s="35" t="n"/>
      <c r="D10" s="27" t="n"/>
    </row>
    <row r="11">
      <c r="B11" s="13" t="inlineStr">
        <is>
          <t>적용 USD / 원</t>
        </is>
      </c>
      <c r="C11" s="36">
        <f>IF($C$6="직접 입력",$C$13,IFERROR(INDEX(월평균환율!$C$6:$C$101,MATCH($C$8,월평균환율!$B$6:$B$101,0)),$C$13))</f>
        <v/>
      </c>
      <c r="D11" s="26" t="inlineStr">
        <is>
          <t>월평균환율 시트에 해당 연월이 없으면 아래 수동 환율을 씁니다.</t>
        </is>
      </c>
    </row>
    <row r="12">
      <c r="B12" s="13" t="inlineStr">
        <is>
          <t>적용 CNY / 원</t>
        </is>
      </c>
      <c r="C12" s="36">
        <f>IF($C$6="직접 입력",$C$14,IFERROR(INDEX(월평균환율!$D$6:$D$101,MATCH($C$8,월평균환율!$B$6:$B$101,0)),$C$14))</f>
        <v/>
      </c>
      <c r="D12" s="27" t="n"/>
    </row>
    <row r="13">
      <c r="B13" s="13" t="inlineStr">
        <is>
          <t>수동 USD / 원</t>
        </is>
      </c>
      <c r="C13" s="37" t="n">
        <v>1380</v>
      </c>
      <c r="D13" s="97" t="inlineStr">
        <is>
          <t>예비값입니다. 실제 환율로 바꿔 주세요.</t>
        </is>
      </c>
    </row>
    <row r="14">
      <c r="B14" s="13" t="inlineStr">
        <is>
          <t>수동 CNY / 원</t>
        </is>
      </c>
      <c r="C14" s="37" t="n">
        <v>190</v>
      </c>
      <c r="D14" s="97" t="inlineStr">
        <is>
          <t>예비값입니다. 실제 환율로 바꿔 주세요.</t>
        </is>
      </c>
    </row>
    <row r="15">
      <c r="B15" s="34" t="n"/>
      <c r="C15" s="35" t="n"/>
      <c r="D15" s="27" t="n"/>
    </row>
    <row r="16">
      <c r="B16" s="38" t="inlineStr">
        <is>
          <t>■ 원가 · 이윤</t>
        </is>
      </c>
      <c r="C16" s="39" t="n"/>
      <c r="D16" s="28" t="n"/>
    </row>
    <row r="17">
      <c r="B17" s="13" t="inlineStr">
        <is>
          <t>부대비용률</t>
        </is>
      </c>
      <c r="C17" s="155" t="n">
        <v>0.1</v>
      </c>
      <c r="D17" s="26" t="inlineStr">
        <is>
          <t>운임 · 관세 · 통관수수료 · 창고/내륙운송 · 환리스크를 통으로 잡은 비율.</t>
        </is>
      </c>
    </row>
    <row r="18">
      <c r="B18" s="13" t="inlineStr">
        <is>
          <t>이윤율</t>
        </is>
      </c>
      <c r="C18" s="155" t="n">
        <v>0.3</v>
      </c>
      <c r="D18" s="26" t="inlineStr">
        <is>
          <t>품목별로 다르게 주려면 판매가산출 시트 G열에 개별 입력하세요.</t>
        </is>
      </c>
    </row>
    <row r="19">
      <c r="B19" s="13" t="inlineStr">
        <is>
          <t>계산 방식</t>
        </is>
      </c>
      <c r="C19" s="30" t="inlineStr">
        <is>
          <t>판매가 마진</t>
        </is>
      </c>
      <c r="D19" s="26" t="inlineStr">
        <is>
          <t>"원가 가산" = 입고원가 × 1.30 · "판매가 마진" = 입고원가 ÷ 0.70</t>
        </is>
      </c>
    </row>
    <row r="20">
      <c r="B20" s="13" t="inlineStr">
        <is>
          <t>판매단가 절상 단위</t>
        </is>
      </c>
      <c r="C20" s="41" t="n">
        <v>100</v>
      </c>
      <c r="D20" s="26" t="inlineStr">
        <is>
          <t>1이면 반올림, 10/100/1000이면 그 단위로 올림 처리합니다.</t>
        </is>
      </c>
    </row>
    <row r="21">
      <c r="B21" s="34" t="n"/>
      <c r="C21" s="35" t="n"/>
      <c r="D21" s="27" t="n"/>
    </row>
    <row r="22">
      <c r="B22" s="38" t="inlineStr">
        <is>
          <t>■ 상품 판매가 (수입품 · 국내구매품 유통)</t>
        </is>
      </c>
      <c r="C22" s="39" t="n"/>
      <c r="D22" s="28" t="n"/>
    </row>
    <row r="23">
      <c r="B23" s="13" t="inlineStr">
        <is>
          <t>국내 부대비용률</t>
        </is>
      </c>
      <c r="C23" s="155" t="n">
        <v>0</v>
      </c>
      <c r="D23" s="26" t="inlineStr">
        <is>
          <t>국내구매품의 운반비 · 검수비 등. 없으면 0%.</t>
        </is>
      </c>
    </row>
    <row r="24">
      <c r="B24" s="13" t="inlineStr">
        <is>
          <t>판관비율</t>
        </is>
      </c>
      <c r="C24" s="155" t="n">
        <v>0.08699999999999999</v>
      </c>
      <c r="D24" s="26" t="inlineStr">
        <is>
          <t>인건비 · 임차료 · 물류 · 판촉 등 판매관리비. 실제 손익계산서 비율로 바꾸세요.</t>
        </is>
      </c>
    </row>
    <row r="25">
      <c r="B25" s="13" t="inlineStr">
        <is>
          <t>영업이익률</t>
        </is>
      </c>
      <c r="C25" s="155" t="n">
        <v>0.1</v>
      </c>
      <c r="D25" s="26" t="inlineStr">
        <is>
          <t>기준 유통가에 얹을 목표 영업이익.</t>
        </is>
      </c>
    </row>
    <row r="26">
      <c r="B26" s="13" t="inlineStr">
        <is>
          <t>상품가 계산 방식</t>
        </is>
      </c>
      <c r="C26" s="30" t="inlineStr">
        <is>
          <t>매출 대비</t>
        </is>
      </c>
      <c r="D26" s="26" t="inlineStr">
        <is>
          <t>"매출 대비" = 매입원가 ÷ (1 − 판관비율 − 영업이익률) · "원가 가산" = 매입원가 × (1+판관비율) × (1+영업이익률)</t>
        </is>
      </c>
    </row>
    <row r="27">
      <c r="B27" s="13" t="inlineStr">
        <is>
          <t>기준유통가 절상 단위</t>
        </is>
      </c>
      <c r="C27" s="41" t="n">
        <v>100</v>
      </c>
      <c r="D27" s="26" t="inlineStr">
        <is>
          <t>1이면 반올림, 100/1000이면 그 단위로 올림.</t>
        </is>
      </c>
    </row>
    <row r="28">
      <c r="B28" s="156" t="inlineStr">
        <is>
          <t>소비자 마진율</t>
        </is>
      </c>
      <c r="C28" s="157" t="n">
        <v>0.2</v>
      </c>
      <c r="D28" s="158" t="inlineStr">
        <is>
          <t>최종 유통가에 얹어 소비자 판매가를 만드는 비율. 품목별로 다르면 상품판매가산출 W열에 따로 넣으세요.</t>
        </is>
      </c>
    </row>
    <row r="29">
      <c r="B29" s="163" t="inlineStr">
        <is>
          <t>에이전트 부대비용률</t>
        </is>
      </c>
      <c r="C29" s="157" t="n">
        <v>0</v>
      </c>
      <c r="D29" s="164" t="inlineStr">
        <is>
          <t>구분 '수입' + 통화 'KRW' 인 건에 적용됩니다. 에이전트 지급액에 통관·운임이 포함돼 있으면 0%로 두세요.</t>
        </is>
      </c>
    </row>
    <row r="30">
      <c r="B30" s="18" t="n"/>
      <c r="C30" s="25" t="n"/>
      <c r="D30" s="15" t="n"/>
    </row>
    <row r="31">
      <c r="B31" s="165" t="inlineStr">
        <is>
          <t>■ 태성 재판매 (플로우텍 공급 → 태성 입고 → 재판매)</t>
        </is>
      </c>
      <c r="C31" s="138" t="n"/>
      <c r="D31" s="15" t="n"/>
    </row>
    <row r="32">
      <c r="B32" s="156" t="inlineStr">
        <is>
          <t>태성 추가비용률</t>
        </is>
      </c>
      <c r="C32" s="157" t="n">
        <v>0</v>
      </c>
      <c r="D32" s="158" t="inlineStr">
        <is>
          <t>태성 입고 후 붙는 운반비 · 보관비 등. 없으면 0%.</t>
        </is>
      </c>
    </row>
    <row r="33" ht="18" customHeight="1" thickBot="1">
      <c r="B33" s="180" t="inlineStr">
        <is>
          <t>태성 판관비율</t>
        </is>
      </c>
      <c r="C33" s="157" t="n">
        <v>0.08699999999999999</v>
      </c>
      <c r="D33" s="181" t="inlineStr">
        <is>
          <t>태성 기준 판매관리비. 플로우텍 판관비(C24)와 별개로 관리합니다.</t>
        </is>
      </c>
    </row>
    <row r="34">
      <c r="B34" s="169" t="inlineStr">
        <is>
          <t>태성 영업이익률</t>
        </is>
      </c>
      <c r="C34" s="157" t="n">
        <v>0.1</v>
      </c>
      <c r="D34" s="138" t="inlineStr">
        <is>
          <t>태성 기준 판매가에 얹을 목표 영업이익.</t>
        </is>
      </c>
    </row>
    <row r="35">
      <c r="B35" s="162" t="n"/>
      <c r="C35" s="138" t="n"/>
    </row>
    <row r="37">
      <c r="B37" s="182" t="inlineStr">
        <is>
          <t>■ 범례</t>
        </is>
      </c>
      <c r="C37" s="138" t="n"/>
    </row>
    <row r="38">
      <c r="B38" s="183" t="inlineStr">
        <is>
          <t>노란 채우기</t>
        </is>
      </c>
      <c r="C38" s="138" t="inlineStr">
        <is>
          <t>반드시 확인하고 채워야 하는 칸</t>
        </is>
      </c>
    </row>
    <row r="39">
      <c r="B39" s="184" t="inlineStr">
        <is>
          <t>파란 글씨</t>
        </is>
      </c>
      <c r="C39" s="138" t="inlineStr">
        <is>
          <t>직접 입력하는 칸</t>
        </is>
      </c>
    </row>
    <row r="40">
      <c r="B40" s="169" t="inlineStr">
        <is>
          <t>검정 글씨</t>
        </is>
      </c>
      <c r="C40" s="138" t="inlineStr">
        <is>
          <t>수식 — 손대지 마세요</t>
        </is>
      </c>
    </row>
    <row r="41">
      <c r="B41" s="162" t="inlineStr">
        <is>
          <t>초록 글씨</t>
        </is>
      </c>
      <c r="C41" s="138" t="inlineStr">
        <is>
          <t>다른 시트를 참조하는 수식</t>
        </is>
      </c>
    </row>
  </sheetData>
  <dataValidations count="3">
    <dataValidation sqref="C6" showDropDown="0" showInputMessage="0" showErrorMessage="0" allowBlank="0" type="list">
      <formula1>"전월 평균,당월 평균,직접 입력"</formula1>
    </dataValidation>
    <dataValidation sqref="C19" showDropDown="0" showInputMessage="0" showErrorMessage="0" allowBlank="0" type="list">
      <formula1>"원가 가산,판매가 마진"</formula1>
    </dataValidation>
    <dataValidation sqref="C26" showDropDown="0" showInputMessage="0" showErrorMessage="0" allowBlank="0" type="list">
      <formula1>"매출 대비,원가 가산"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zoomScaleNormal="100" workbookViewId="0">
      <selection activeCell="J22" sqref="J22"/>
    </sheetView>
  </sheetViews>
  <sheetFormatPr baseColWidth="8" defaultRowHeight="17.4"/>
  <cols>
    <col width="3.69921875" customWidth="1" min="1" max="1"/>
    <col width="10.8984375" customWidth="1" min="2" max="2"/>
    <col width="12" customWidth="1" min="3" max="4"/>
    <col width="82.5" customWidth="1" min="5" max="5"/>
  </cols>
  <sheetData>
    <row r="1" ht="15" customHeight="1"/>
    <row r="2" ht="21" customHeight="1">
      <c r="B2" s="1" t="inlineStr">
        <is>
          <t>월평균 매매기준율</t>
        </is>
      </c>
    </row>
    <row r="3">
      <c r="B3" s="4" t="inlineStr">
        <is>
          <t>출처: 서울외국환중개 http://www.smbs.biz/ExRate/MonAvgStdExRate.jsp — 매달 갱신하세요.</t>
        </is>
      </c>
    </row>
    <row r="4" ht="18" customHeight="1" thickBot="1"/>
    <row r="5">
      <c r="B5" s="20" t="inlineStr">
        <is>
          <t>연월</t>
        </is>
      </c>
      <c r="C5" s="21" t="inlineStr">
        <is>
          <t>USD / 원</t>
        </is>
      </c>
      <c r="D5" s="21" t="inlineStr">
        <is>
          <t>CNY / 원</t>
        </is>
      </c>
      <c r="E5" s="24" t="n"/>
    </row>
    <row r="6">
      <c r="B6" s="29" t="inlineStr">
        <is>
          <t>2025-09</t>
        </is>
      </c>
      <c r="C6" s="159" t="n">
        <v>1391.83</v>
      </c>
      <c r="D6" s="159" t="n">
        <v>195.36</v>
      </c>
      <c r="E6" s="15" t="n"/>
    </row>
    <row r="7">
      <c r="B7" s="29" t="inlineStr">
        <is>
          <t>2025-10</t>
        </is>
      </c>
      <c r="C7" s="159" t="n">
        <v>1423.36</v>
      </c>
      <c r="D7" s="159" t="n">
        <v>199.82</v>
      </c>
      <c r="E7" s="15" t="n"/>
    </row>
    <row r="8">
      <c r="B8" s="29" t="inlineStr">
        <is>
          <t>2025-11</t>
        </is>
      </c>
      <c r="C8" s="159" t="n">
        <v>1457.77</v>
      </c>
      <c r="D8" s="159" t="n">
        <v>205.04</v>
      </c>
      <c r="E8" s="15" t="n"/>
    </row>
    <row r="9">
      <c r="B9" s="29" t="inlineStr">
        <is>
          <t>2025-12</t>
        </is>
      </c>
      <c r="C9" s="159" t="n">
        <v>1467.4</v>
      </c>
      <c r="D9" s="159" t="n">
        <v>208.26</v>
      </c>
      <c r="E9" s="15" t="n"/>
    </row>
    <row r="10">
      <c r="B10" s="29" t="inlineStr">
        <is>
          <t>2026-01</t>
        </is>
      </c>
      <c r="C10" s="159" t="n">
        <v>1456.51</v>
      </c>
      <c r="D10" s="159" t="n">
        <v>209.08</v>
      </c>
      <c r="E10" s="15" t="n"/>
    </row>
    <row r="11">
      <c r="B11" s="29" t="inlineStr">
        <is>
          <t>2026-02</t>
        </is>
      </c>
      <c r="C11" s="159" t="n">
        <v>1449.32</v>
      </c>
      <c r="D11" s="159" t="n">
        <v>209.73</v>
      </c>
      <c r="E11" s="15" t="n"/>
    </row>
    <row r="12">
      <c r="B12" s="29" t="inlineStr">
        <is>
          <t>2026-03</t>
        </is>
      </c>
      <c r="C12" s="159" t="n">
        <v>1486.64</v>
      </c>
      <c r="D12" s="159" t="n">
        <v>215.65</v>
      </c>
      <c r="E12" s="15" t="n"/>
    </row>
    <row r="13">
      <c r="B13" s="29" t="inlineStr">
        <is>
          <t>2026-04</t>
        </is>
      </c>
      <c r="C13" s="159" t="n">
        <v>1487.39</v>
      </c>
      <c r="D13" s="159" t="n">
        <v>217.41</v>
      </c>
      <c r="E13" s="15" t="n"/>
    </row>
    <row r="14">
      <c r="B14" s="29" t="inlineStr">
        <is>
          <t>2026-05</t>
        </is>
      </c>
      <c r="C14" s="159" t="n">
        <v>1490.11</v>
      </c>
      <c r="D14" s="159" t="n">
        <v>219.11</v>
      </c>
      <c r="E14" s="15" t="n"/>
    </row>
    <row r="15">
      <c r="B15" s="29" t="inlineStr">
        <is>
          <t>2026-06</t>
        </is>
      </c>
      <c r="C15" s="159" t="n">
        <v>1527.3</v>
      </c>
      <c r="D15" s="159" t="n">
        <v>225.51</v>
      </c>
      <c r="E15" s="15" t="n"/>
    </row>
    <row r="16">
      <c r="B16" s="29" t="inlineStr">
        <is>
          <t>2026-07</t>
        </is>
      </c>
      <c r="C16" s="159" t="n">
        <v>1497.43</v>
      </c>
      <c r="D16" s="159" t="n">
        <v>220.94</v>
      </c>
      <c r="E16" s="15" t="n"/>
    </row>
    <row r="17">
      <c r="B17" s="29" t="inlineStr">
        <is>
          <t>2026-08</t>
        </is>
      </c>
      <c r="C17" s="159" t="n">
        <v>1406.3</v>
      </c>
      <c r="D17" s="159" t="n">
        <v>208.69</v>
      </c>
      <c r="E17" s="15" t="n"/>
    </row>
    <row r="18">
      <c r="B18" s="22" t="n"/>
      <c r="C18" s="160" t="n"/>
      <c r="D18" s="160" t="n"/>
      <c r="E18" s="15" t="n"/>
    </row>
    <row r="19">
      <c r="B19" s="22" t="n"/>
      <c r="C19" s="160" t="n"/>
      <c r="D19" s="160" t="n"/>
      <c r="E19" s="15" t="n"/>
    </row>
    <row r="20">
      <c r="B20" s="22" t="n"/>
      <c r="C20" s="160" t="n"/>
      <c r="D20" s="160" t="n"/>
      <c r="E20" s="15" t="n"/>
    </row>
    <row r="21">
      <c r="B21" s="22" t="n"/>
      <c r="C21" s="160" t="n"/>
      <c r="D21" s="160" t="n"/>
      <c r="E21" s="15" t="n"/>
    </row>
    <row r="22">
      <c r="B22" s="22" t="n"/>
      <c r="C22" s="160" t="n"/>
      <c r="D22" s="160" t="n"/>
      <c r="E22" s="15" t="n"/>
    </row>
    <row r="23">
      <c r="B23" s="22" t="n"/>
      <c r="C23" s="160" t="n"/>
      <c r="D23" s="160" t="n"/>
      <c r="E23" s="15" t="n"/>
    </row>
    <row r="24">
      <c r="B24" s="22" t="n"/>
      <c r="C24" s="160" t="n"/>
      <c r="D24" s="160" t="n"/>
      <c r="E24" s="15" t="n"/>
    </row>
    <row r="25">
      <c r="B25" s="22" t="n"/>
      <c r="C25" s="160" t="n"/>
      <c r="D25" s="160" t="n"/>
      <c r="E25" s="15" t="n"/>
    </row>
    <row r="26">
      <c r="B26" s="22" t="n"/>
      <c r="C26" s="160" t="n"/>
      <c r="D26" s="160" t="n"/>
      <c r="E26" s="15" t="n"/>
    </row>
    <row r="27">
      <c r="B27" s="22" t="n"/>
      <c r="C27" s="160" t="n"/>
      <c r="D27" s="160" t="n"/>
      <c r="E27" s="15" t="n"/>
    </row>
    <row r="28">
      <c r="B28" s="22" t="n"/>
      <c r="C28" s="160" t="n"/>
      <c r="D28" s="160" t="n"/>
      <c r="E28" s="15" t="n"/>
    </row>
    <row r="29" ht="18" customHeight="1" thickBot="1">
      <c r="B29" s="23" t="n"/>
      <c r="C29" s="161" t="n"/>
      <c r="D29" s="161" t="n"/>
      <c r="E29" s="19" t="n"/>
    </row>
    <row r="31">
      <c r="B31" s="3" t="inlineStr">
        <is>
          <t>연월은 반드시 텍스트 YYYY-MM 형식으로 넣으세요. 날짜로 바뀌면 설정 시트가 값을 찾지 못합니다.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2026-09-08T05:14:17Z</dcterms:created>
  <dcterms:modified xsi:type="dcterms:W3CDTF">2026-09-14T07:48:57Z</dcterms:modified>
  <cp:lastModifiedBy>오정민</cp:lastModifiedBy>
</cp:coreProperties>
</file>