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sbath-my.sharepoint.com/personal/jmoh_tsbath_com/Documents/바탕 화면/"/>
    </mc:Choice>
  </mc:AlternateContent>
  <xr:revisionPtr revIDLastSave="145" documentId="8_{2387A152-31F0-4821-9CAD-ABA45F7BAC58}" xr6:coauthVersionLast="47" xr6:coauthVersionMax="47" xr10:uidLastSave="{D3A0D708-255E-4EA8-BF9C-169090A5EEEB}"/>
  <bookViews>
    <workbookView xWindow="57480" yWindow="-120" windowWidth="29040" windowHeight="15720" activeTab="1" xr2:uid="{00000000-000D-0000-FFFF-FFFF00000000}"/>
  </bookViews>
  <sheets>
    <sheet name="자재판매가산출" sheetId="1" r:id="rId1"/>
    <sheet name="상품판매가산출" sheetId="2" r:id="rId2"/>
    <sheet name="Sheet1" sheetId="7" r:id="rId3"/>
    <sheet name="유통가 보고" sheetId="6" r:id="rId4"/>
    <sheet name="사용안내" sheetId="3" r:id="rId5"/>
    <sheet name="설정" sheetId="4" r:id="rId6"/>
    <sheet name="월평균환율" sheetId="5" r:id="rId7"/>
  </sheets>
  <definedNames>
    <definedName name="_xlnm._FilterDatabase" localSheetId="3" hidden="1">'유통가 보고'!$B$6:$J$17</definedName>
    <definedName name="_xlnm.Print_Area" localSheetId="3">'유통가 보고'!$B$2:$J$18</definedName>
    <definedName name="_xlnm.Print_Titles" localSheetId="3">'유통가 보고'!$6:$6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C9" i="6"/>
  <c r="E9" i="6"/>
  <c r="B10" i="6"/>
  <c r="C10" i="6"/>
  <c r="E10" i="6"/>
  <c r="B11" i="6"/>
  <c r="C11" i="6"/>
  <c r="E11" i="6"/>
  <c r="B12" i="6"/>
  <c r="C12" i="6"/>
  <c r="E12" i="6"/>
  <c r="B13" i="6"/>
  <c r="C13" i="6"/>
  <c r="E13" i="6"/>
  <c r="J17" i="6"/>
  <c r="I17" i="6"/>
  <c r="H17" i="6"/>
  <c r="G17" i="6"/>
  <c r="F17" i="6"/>
  <c r="E17" i="6"/>
  <c r="D17" i="6"/>
  <c r="C17" i="6"/>
  <c r="B17" i="6"/>
  <c r="E8" i="6"/>
  <c r="C8" i="6"/>
  <c r="B8" i="6"/>
  <c r="E7" i="6"/>
  <c r="C7" i="6"/>
  <c r="B7" i="6"/>
  <c r="B4" i="6"/>
  <c r="C7" i="4"/>
  <c r="C8" i="4" s="1"/>
  <c r="F25" i="1"/>
  <c r="G24" i="1"/>
  <c r="G23" i="1"/>
  <c r="G22" i="1"/>
  <c r="G21" i="1"/>
  <c r="G20" i="1"/>
  <c r="G19" i="1"/>
  <c r="G18" i="1"/>
  <c r="G17" i="1"/>
  <c r="G16" i="1"/>
  <c r="G15" i="1"/>
  <c r="G14" i="1"/>
  <c r="H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D13" i="6" s="1"/>
  <c r="I11" i="2"/>
  <c r="D12" i="6" s="1"/>
  <c r="I10" i="2"/>
  <c r="D11" i="6" s="1"/>
  <c r="I9" i="2"/>
  <c r="D10" i="6" s="1"/>
  <c r="B3" i="2"/>
  <c r="E18" i="6" l="1"/>
  <c r="J20" i="1"/>
  <c r="H20" i="1"/>
  <c r="C11" i="4"/>
  <c r="C12" i="4"/>
  <c r="J24" i="1"/>
  <c r="H24" i="1"/>
  <c r="H23" i="1"/>
  <c r="J23" i="1"/>
  <c r="J22" i="1"/>
  <c r="H22" i="1"/>
  <c r="H21" i="1"/>
  <c r="J21" i="1"/>
  <c r="K20" i="1"/>
  <c r="O20" i="1"/>
  <c r="J19" i="1"/>
  <c r="H19" i="1"/>
  <c r="J18" i="1"/>
  <c r="H18" i="1"/>
  <c r="H17" i="1"/>
  <c r="J17" i="1"/>
  <c r="J16" i="1"/>
  <c r="H16" i="1"/>
  <c r="J15" i="1"/>
  <c r="H15" i="1"/>
  <c r="J14" i="1"/>
  <c r="H14" i="1"/>
  <c r="M25" i="2"/>
  <c r="L25" i="2"/>
  <c r="T25" i="2" s="1"/>
  <c r="M24" i="2"/>
  <c r="L24" i="2"/>
  <c r="T24" i="2" s="1"/>
  <c r="M23" i="2"/>
  <c r="L23" i="2"/>
  <c r="T23" i="2" s="1"/>
  <c r="M22" i="2"/>
  <c r="L22" i="2"/>
  <c r="T22" i="2" s="1"/>
  <c r="M21" i="2"/>
  <c r="L21" i="2"/>
  <c r="T21" i="2" s="1"/>
  <c r="M20" i="2"/>
  <c r="L20" i="2"/>
  <c r="T20" i="2" s="1"/>
  <c r="M19" i="2"/>
  <c r="L19" i="2"/>
  <c r="T19" i="2" s="1"/>
  <c r="L18" i="2"/>
  <c r="T18" i="2" s="1"/>
  <c r="M18" i="2"/>
  <c r="M17" i="2"/>
  <c r="L17" i="2"/>
  <c r="T17" i="2" s="1"/>
  <c r="M16" i="2"/>
  <c r="L16" i="2"/>
  <c r="T16" i="2" s="1"/>
  <c r="M15" i="2"/>
  <c r="L15" i="2"/>
  <c r="T15" i="2" s="1"/>
  <c r="M14" i="2"/>
  <c r="L14" i="2"/>
  <c r="T14" i="2" s="1"/>
  <c r="L13" i="2"/>
  <c r="T13" i="2" s="1"/>
  <c r="M13" i="2"/>
  <c r="L12" i="2"/>
  <c r="M12" i="2"/>
  <c r="L11" i="2"/>
  <c r="M11" i="2"/>
  <c r="M10" i="2"/>
  <c r="L10" i="2"/>
  <c r="L9" i="2"/>
  <c r="M9" i="2"/>
  <c r="T12" i="2" l="1"/>
  <c r="F13" i="6"/>
  <c r="T11" i="2"/>
  <c r="F12" i="6"/>
  <c r="T10" i="2"/>
  <c r="F11" i="6"/>
  <c r="T9" i="2"/>
  <c r="F10" i="6"/>
  <c r="I7" i="2"/>
  <c r="I8" i="2"/>
  <c r="G13" i="1"/>
  <c r="I6" i="2"/>
  <c r="B3" i="6"/>
  <c r="H13" i="1"/>
  <c r="J13" i="1"/>
  <c r="B3" i="1"/>
  <c r="G6" i="1"/>
  <c r="G7" i="1"/>
  <c r="G8" i="1"/>
  <c r="G9" i="1"/>
  <c r="G10" i="1"/>
  <c r="G11" i="1"/>
  <c r="G12" i="1"/>
  <c r="K24" i="1"/>
  <c r="O24" i="1"/>
  <c r="K23" i="1"/>
  <c r="O23" i="1"/>
  <c r="O22" i="1"/>
  <c r="K22" i="1"/>
  <c r="K21" i="1"/>
  <c r="O21" i="1"/>
  <c r="L20" i="1"/>
  <c r="M20" i="1"/>
  <c r="N20" i="1"/>
  <c r="K19" i="1"/>
  <c r="O19" i="1"/>
  <c r="K18" i="1"/>
  <c r="O18" i="1"/>
  <c r="K17" i="1"/>
  <c r="O17" i="1"/>
  <c r="K16" i="1"/>
  <c r="O16" i="1"/>
  <c r="K15" i="1"/>
  <c r="O15" i="1"/>
  <c r="K14" i="1"/>
  <c r="O14" i="1"/>
  <c r="O25" i="2"/>
  <c r="S25" i="2"/>
  <c r="O24" i="2"/>
  <c r="S24" i="2"/>
  <c r="O23" i="2"/>
  <c r="S23" i="2"/>
  <c r="O22" i="2"/>
  <c r="S22" i="2"/>
  <c r="O21" i="2"/>
  <c r="S21" i="2"/>
  <c r="O20" i="2"/>
  <c r="S20" i="2"/>
  <c r="O19" i="2"/>
  <c r="S19" i="2"/>
  <c r="O18" i="2"/>
  <c r="S18" i="2"/>
  <c r="O17" i="2"/>
  <c r="S17" i="2"/>
  <c r="O16" i="2"/>
  <c r="S16" i="2"/>
  <c r="O15" i="2"/>
  <c r="S15" i="2"/>
  <c r="O14" i="2"/>
  <c r="S14" i="2"/>
  <c r="O13" i="2"/>
  <c r="S13" i="2"/>
  <c r="O12" i="2"/>
  <c r="G13" i="6" s="1"/>
  <c r="S12" i="2"/>
  <c r="O11" i="2"/>
  <c r="G12" i="6" s="1"/>
  <c r="S11" i="2"/>
  <c r="S10" i="2"/>
  <c r="O10" i="2"/>
  <c r="G11" i="6" s="1"/>
  <c r="O9" i="2"/>
  <c r="G10" i="6" s="1"/>
  <c r="S9" i="2"/>
  <c r="L7" i="2" l="1"/>
  <c r="D8" i="6"/>
  <c r="M7" i="2"/>
  <c r="L8" i="2"/>
  <c r="M8" i="2"/>
  <c r="D9" i="6"/>
  <c r="D7" i="6"/>
  <c r="M6" i="2"/>
  <c r="L6" i="2"/>
  <c r="O13" i="1"/>
  <c r="K13" i="1"/>
  <c r="H6" i="1"/>
  <c r="J6" i="1"/>
  <c r="H7" i="1"/>
  <c r="J7" i="1"/>
  <c r="H8" i="1"/>
  <c r="J8" i="1"/>
  <c r="H9" i="1"/>
  <c r="J9" i="1"/>
  <c r="H10" i="1"/>
  <c r="J10" i="1"/>
  <c r="H11" i="1"/>
  <c r="J11" i="1"/>
  <c r="H12" i="1"/>
  <c r="J12" i="1"/>
  <c r="L24" i="1"/>
  <c r="M24" i="1"/>
  <c r="N24" i="1"/>
  <c r="L23" i="1"/>
  <c r="M23" i="1"/>
  <c r="N23" i="1"/>
  <c r="L22" i="1"/>
  <c r="N22" i="1"/>
  <c r="M22" i="1"/>
  <c r="L21" i="1"/>
  <c r="M21" i="1"/>
  <c r="N21" i="1"/>
  <c r="L19" i="1"/>
  <c r="M19" i="1"/>
  <c r="N19" i="1"/>
  <c r="L18" i="1"/>
  <c r="M18" i="1"/>
  <c r="N18" i="1"/>
  <c r="L17" i="1"/>
  <c r="M17" i="1"/>
  <c r="N17" i="1"/>
  <c r="L16" i="1"/>
  <c r="M16" i="1"/>
  <c r="N16" i="1"/>
  <c r="L15" i="1"/>
  <c r="M15" i="1"/>
  <c r="N15" i="1"/>
  <c r="L14" i="1"/>
  <c r="M14" i="1"/>
  <c r="N14" i="1"/>
  <c r="P25" i="2"/>
  <c r="Q25" i="2"/>
  <c r="V25" i="2" s="1"/>
  <c r="R25" i="2"/>
  <c r="U25" i="2"/>
  <c r="P24" i="2"/>
  <c r="Q24" i="2"/>
  <c r="V24" i="2" s="1"/>
  <c r="R24" i="2"/>
  <c r="U24" i="2"/>
  <c r="P23" i="2"/>
  <c r="Q23" i="2"/>
  <c r="V23" i="2" s="1"/>
  <c r="R23" i="2"/>
  <c r="U23" i="2"/>
  <c r="P22" i="2"/>
  <c r="Q22" i="2"/>
  <c r="V22" i="2" s="1"/>
  <c r="R22" i="2"/>
  <c r="U22" i="2"/>
  <c r="P21" i="2"/>
  <c r="Q21" i="2"/>
  <c r="V21" i="2" s="1"/>
  <c r="R21" i="2"/>
  <c r="U21" i="2"/>
  <c r="P20" i="2"/>
  <c r="Q20" i="2"/>
  <c r="V20" i="2" s="1"/>
  <c r="R20" i="2"/>
  <c r="U20" i="2"/>
  <c r="P19" i="2"/>
  <c r="Q19" i="2"/>
  <c r="V19" i="2" s="1"/>
  <c r="R19" i="2"/>
  <c r="U19" i="2"/>
  <c r="P18" i="2"/>
  <c r="Q18" i="2"/>
  <c r="V18" i="2" s="1"/>
  <c r="R18" i="2"/>
  <c r="U18" i="2"/>
  <c r="P17" i="2"/>
  <c r="Q17" i="2"/>
  <c r="V17" i="2" s="1"/>
  <c r="R17" i="2"/>
  <c r="U17" i="2"/>
  <c r="P16" i="2"/>
  <c r="Q16" i="2"/>
  <c r="V16" i="2" s="1"/>
  <c r="R16" i="2"/>
  <c r="U16" i="2"/>
  <c r="P15" i="2"/>
  <c r="Q15" i="2"/>
  <c r="V15" i="2" s="1"/>
  <c r="R15" i="2"/>
  <c r="U15" i="2"/>
  <c r="P14" i="2"/>
  <c r="Q14" i="2"/>
  <c r="V14" i="2" s="1"/>
  <c r="R14" i="2"/>
  <c r="U14" i="2"/>
  <c r="P13" i="2"/>
  <c r="Q13" i="2"/>
  <c r="V13" i="2" s="1"/>
  <c r="R13" i="2"/>
  <c r="U13" i="2"/>
  <c r="P12" i="2"/>
  <c r="Q12" i="2"/>
  <c r="V12" i="2" s="1"/>
  <c r="J13" i="6" s="1"/>
  <c r="R12" i="2"/>
  <c r="H13" i="6" s="1"/>
  <c r="U12" i="2"/>
  <c r="I13" i="6" s="1"/>
  <c r="P11" i="2"/>
  <c r="Q11" i="2"/>
  <c r="V11" i="2" s="1"/>
  <c r="J12" i="6" s="1"/>
  <c r="R11" i="2"/>
  <c r="H12" i="6" s="1"/>
  <c r="U11" i="2"/>
  <c r="I12" i="6" s="1"/>
  <c r="R10" i="2"/>
  <c r="H11" i="6" s="1"/>
  <c r="P10" i="2"/>
  <c r="Q10" i="2"/>
  <c r="V10" i="2" s="1"/>
  <c r="J11" i="6" s="1"/>
  <c r="U10" i="2"/>
  <c r="I11" i="6" s="1"/>
  <c r="P9" i="2"/>
  <c r="Q9" i="2"/>
  <c r="V9" i="2" s="1"/>
  <c r="J10" i="6" s="1"/>
  <c r="R9" i="2"/>
  <c r="H10" i="6" s="1"/>
  <c r="U9" i="2"/>
  <c r="I10" i="6" s="1"/>
  <c r="F8" i="6" l="1"/>
  <c r="O7" i="2"/>
  <c r="F9" i="6"/>
  <c r="O8" i="2"/>
  <c r="O6" i="2"/>
  <c r="F7" i="6"/>
  <c r="L13" i="1"/>
  <c r="M13" i="1" s="1"/>
  <c r="N13" i="1"/>
  <c r="K6" i="1"/>
  <c r="O6" i="1"/>
  <c r="K7" i="1"/>
  <c r="O7" i="1"/>
  <c r="K8" i="1"/>
  <c r="O8" i="1"/>
  <c r="K9" i="1"/>
  <c r="O9" i="1"/>
  <c r="K10" i="1"/>
  <c r="O10" i="1"/>
  <c r="K11" i="1"/>
  <c r="O11" i="1"/>
  <c r="K12" i="1"/>
  <c r="O12" i="1"/>
  <c r="P7" i="2" l="1"/>
  <c r="Q7" i="2" s="1"/>
  <c r="G8" i="6"/>
  <c r="T7" i="2"/>
  <c r="U7" i="2"/>
  <c r="I8" i="6" s="1"/>
  <c r="S7" i="2"/>
  <c r="P8" i="2"/>
  <c r="Q8" i="2" s="1"/>
  <c r="U8" i="2"/>
  <c r="I9" i="6" s="1"/>
  <c r="G9" i="6"/>
  <c r="T8" i="2"/>
  <c r="S8" i="2"/>
  <c r="S6" i="2"/>
  <c r="T6" i="2"/>
  <c r="U6" i="2"/>
  <c r="G7" i="6"/>
  <c r="P6" i="2"/>
  <c r="Q6" i="2" s="1"/>
  <c r="L6" i="1"/>
  <c r="M6" i="1" s="1"/>
  <c r="N6" i="1"/>
  <c r="L7" i="1"/>
  <c r="M7" i="1" s="1"/>
  <c r="N7" i="1"/>
  <c r="L8" i="1"/>
  <c r="M8" i="1" s="1"/>
  <c r="N8" i="1"/>
  <c r="L9" i="1"/>
  <c r="M9" i="1" s="1"/>
  <c r="N9" i="1"/>
  <c r="L10" i="1"/>
  <c r="M10" i="1" s="1"/>
  <c r="N10" i="1"/>
  <c r="L11" i="1"/>
  <c r="M11" i="1" s="1"/>
  <c r="N11" i="1"/>
  <c r="L12" i="1"/>
  <c r="M12" i="1" s="1"/>
  <c r="N12" i="1"/>
  <c r="O25" i="1"/>
  <c r="R7" i="2" l="1"/>
  <c r="H8" i="6" s="1"/>
  <c r="V7" i="2"/>
  <c r="J8" i="6" s="1"/>
  <c r="R8" i="2"/>
  <c r="H9" i="6" s="1"/>
  <c r="V8" i="2"/>
  <c r="J9" i="6" s="1"/>
  <c r="I7" i="6"/>
  <c r="I18" i="6" s="1"/>
  <c r="U26" i="2"/>
  <c r="R6" i="2"/>
  <c r="H7" i="6" s="1"/>
  <c r="V6" i="2"/>
  <c r="L25" i="1"/>
  <c r="M25" i="1"/>
  <c r="N25" i="1"/>
  <c r="J7" i="6" l="1"/>
  <c r="R26" i="2"/>
  <c r="V26" i="2"/>
  <c r="J18" i="6" l="1"/>
  <c r="H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안내</author>
  </authors>
  <commentList>
    <comment ref="C19" authorId="0" shapeId="0" xr:uid="{00000000-0006-0000-0300-000001000000}">
      <text>
        <r>
          <rPr>
            <sz val="11"/>
            <color theme="1"/>
            <rFont val="맑은 고딕"/>
            <family val="2"/>
            <scheme val="minor"/>
          </rPr>
          <t>원가 가산 30%: 입고원가 10,000원 → 판매가 13,000원 (판매가 대비 마진 23.1%)
판매가 마진 30%: 입고원가 10,000원 → 판매가 14,286원 (원가 대비 42.9%)
사내에서 쓰는 정의로 고정하세요.</t>
        </r>
      </text>
    </comment>
    <comment ref="C26" authorId="0" shapeId="0" xr:uid="{00000000-0006-0000-0300-000002000000}">
      <text>
        <r>
          <rPr>
            <sz val="11"/>
            <color theme="1"/>
            <rFont val="맑은 고딕"/>
            <family val="2"/>
            <scheme val="minor"/>
          </rPr>
  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<sst xmlns="http://schemas.openxmlformats.org/spreadsheetml/2006/main" count="224" uniqueCount="190">
  <si>
    <t>상품 판매가 산출 — 수입품 · 국내구매품 유통</t>
  </si>
  <si>
    <t>상품</t>
  </si>
  <si>
    <t>품목코드</t>
  </si>
  <si>
    <t>구분</t>
  </si>
  <si>
    <t>통화</t>
  </si>
  <si>
    <t>외화 단가</t>
  </si>
  <si>
    <t>원화 매입단가</t>
  </si>
  <si>
    <t>수량</t>
  </si>
  <si>
    <t>매입원가
/개</t>
  </si>
  <si>
    <t>판관비율</t>
  </si>
  <si>
    <t>영업이익률</t>
  </si>
  <si>
    <t>BEP 가격</t>
  </si>
  <si>
    <t>기준 유통가</t>
  </si>
  <si>
    <t>최종 유통가
(영업 입력)</t>
  </si>
  <si>
    <t>적용가</t>
  </si>
  <si>
    <t>판관비
/개</t>
  </si>
  <si>
    <t>영업이익
/개</t>
  </si>
  <si>
    <t>영업이익률
(실제)</t>
  </si>
  <si>
    <t>기준가 대비</t>
  </si>
  <si>
    <t>BEP 대비</t>
  </si>
  <si>
    <t>매출 합계</t>
  </si>
  <si>
    <t>영업이익 합계</t>
  </si>
  <si>
    <t>합계</t>
  </si>
  <si>
    <t>① 구분(수입/국내)에 따라 F열(외화 단가) 또는 G열(원화 매입단가) 하나만 채웁니다.</t>
  </si>
  <si>
    <t>② J·K열을 비워 두면 설정 시트의 기본 판관비율·영업이익률이 적용됩니다.</t>
  </si>
  <si>
    <t>③ M열 기준 유통가를 영업에 전달하고, 영업이 정한 값을 N열(노란 칸)에 적습니다. 비워 두면 기준가가 그대로 적용됩니다.</t>
  </si>
  <si>
    <t>④ 최종 유통가가 BEP 가격보다 낮으면 N열이 빨갛게 표시됩니다 — 팔수록 손해라는 뜻입니다.</t>
  </si>
  <si>
    <t>⑤ 보고용으로 추린 표는 [유통가 보고] 시트에 있습니다.</t>
  </si>
  <si>
    <t>표시 금액은 모두 부가세 별도입니다.</t>
  </si>
  <si>
    <t>자재 판매가 산출 — 태성정밀 공급</t>
  </si>
  <si>
    <t>품목</t>
  </si>
  <si>
    <t>원화 환산</t>
  </si>
  <si>
    <t>입고원가</t>
  </si>
  <si>
    <t>이윤율</t>
  </si>
  <si>
    <t>적용 이윤율</t>
  </si>
  <si>
    <t>판매단가</t>
  </si>
  <si>
    <t>개당 마진</t>
  </si>
  <si>
    <t>마진율</t>
  </si>
  <si>
    <t>판매 합계</t>
  </si>
  <si>
    <t>원가 합계</t>
  </si>
  <si>
    <t>USD</t>
  </si>
  <si>
    <t>파란 글씨 칸(A~D, G)만 입력하세요. 나머지는 수식입니다.</t>
  </si>
  <si>
    <t>G열 이윤율을 비워 두면 설정 시트의 기본 이윤율이 적용됩니다.</t>
  </si>
  <si>
    <t>샘플 6개 품목은 형식을 보여주기 위한 예시입니다. 실제 품목으로 교체하세요.</t>
  </si>
  <si>
    <t>표시 금액은 모두 부가세 별도, 태성정밀 공급가 기준입니다.</t>
  </si>
  <si>
    <t>사용 안내</t>
  </si>
  <si>
    <t>1. 매달 할 일 — 환율 갱신</t>
  </si>
  <si>
    <t>① 서울외국환중개 월평균 매매기준율 페이지를 엽니다.</t>
  </si>
  <si>
    <t xml:space="preserve">   http://www.smbs.biz/ExRate/MonAvgStdExRate.jsp</t>
  </si>
  <si>
    <t>② 표에서 해당 월의 미국(USD)과 중국(CNY) 값을 확인합니다.</t>
  </si>
  <si>
    <t>③ [월평균환율] 시트에 한 줄 추가합니다. 연월은 2026-08 처럼 텍스트로 입력하세요.</t>
  </si>
  <si>
    <t>④ 끝입니다. 오늘이 9월이면 8월 값이 자동으로 잡힙니다.</t>
  </si>
  <si>
    <t>2. 자동으로 받아오려면 — 파워쿼리 (Windows 엑셀)</t>
  </si>
  <si>
    <t>① [데이터] 탭 → [데이터 가져오기] → [기타 원본에서] → [웹]</t>
  </si>
  <si>
    <t>② 위 주소를 넣고 [확인] → 탐색 창에서 월평균 표를 고른 뒤 [데이터 변환]</t>
  </si>
  <si>
    <t>③ 연월 · USD · CNY 열만 남기고, 연월을 텍스트로 바꾼 뒤 [닫기 및 로드]</t>
  </si>
  <si>
    <t>④ 이후에는 [데이터] → [모두 새로 고침] 한 번이면 갱신됩니다.</t>
  </si>
  <si>
    <t>※ 이 절차는 실제 사이트에서 확인하지 못했습니다. 사이트 표 구조에 따라 ③단계 열 이름이 다를 수 있고,</t>
  </si>
  <si>
    <t xml:space="preserve">   맥 엑셀은 웹 커넥터 기능이 제한됩니다. 잘 안 되면 위 1번 수동 입력으로 충분합니다.</t>
  </si>
  <si>
    <t>3. 계산 흐름</t>
  </si>
  <si>
    <t>외화 단가 × 환율 = 원화 환산가</t>
  </si>
  <si>
    <t>원화 환산가 × (1 + 부대비용률) = 입고원가</t>
  </si>
  <si>
    <t>입고원가 × (1 + 이윤율)  ← 원가 가산 방식</t>
  </si>
  <si>
    <t>입고원가 ÷ (1 − 이윤율)  ← 판매가 마진 방식</t>
  </si>
  <si>
    <t>→ 절상 단위로 올림 = 판매단가</t>
  </si>
  <si>
    <t>4. 이윤 30%의 두 가지 뜻 — 하나로 고정하세요</t>
  </si>
  <si>
    <t>원가 가산 30%   : 입고원가 10,000원 → 판매가 13,000원 (판매가 대비 마진 23.1%)</t>
  </si>
  <si>
    <t>판매가 마진 30% : 입고원가 10,000원 → 판매가 14,286원 (원가 대비 42.9%)</t>
  </si>
  <si>
    <t>회계상 매출총이익률은 매출 기준이라, 원가에 30%를 붙이면 장부에는 23.1%로 찍힙니다.</t>
  </si>
  <si>
    <t>5. 상품 판매가 (상품판매가 시트) — 수입품 · 국내구매품 유통</t>
  </si>
  <si>
    <t>매입원가 → (판관비) → BEP 가격 → (영업이익) → 기준 유통가 → 영업이 최종 유통가 결정</t>
  </si>
  <si>
    <t>① 매입원가</t>
  </si>
  <si>
    <t xml:space="preserve">   수입품: 외화 단가 × 환율 × (1 + 수입 부대비용률)</t>
  </si>
  <si>
    <t xml:space="preserve">   국내구매품: 원화 매입단가 × (1 + 국내 부대비용률)</t>
  </si>
  <si>
    <t>② BEP 가격 — 팔아도 남지도 밑지지도 않는 가격. 이 밑으로 내려가면 손해입니다.</t>
  </si>
  <si>
    <t xml:space="preserve">   매출 대비 방식: 매입원가 ÷ (1 − 판관비율)</t>
  </si>
  <si>
    <t xml:space="preserve">   원가 가산 방식: 매입원가 × (1 + 판관비율)</t>
  </si>
  <si>
    <t>③ 기준 유통가 — BEP에 목표 영업이익을 얹은 값. 영업에 전달하는 가격입니다.</t>
  </si>
  <si>
    <t xml:space="preserve">   매출 대비 방식: 매입원가 ÷ (1 − 판관비율 − 영업이익률)</t>
  </si>
  <si>
    <t xml:space="preserve">   원가 가산 방식: BEP 가격 × (1 + 영업이익률)</t>
  </si>
  <si>
    <t>④ 최종 유통가 — 영업이 협상해 정한 값을 노란 칸(L열)에 적습니다.</t>
  </si>
  <si>
    <t xml:space="preserve">   비워 두면 기준 유통가가 그대로 적용되고, 적어 넣으면 실제 영업이익률이 즉시 다시 계산됩니다.</t>
  </si>
  <si>
    <t xml:space="preserve">   BEP보다 낮게 적으면 그 칸이 빨갛게 바뀝니다.</t>
  </si>
  <si>
    <t>두 계산 방식의 차이 (매입원가 100,000원 · 판관비 25% · 영업이익 10% 기준)</t>
  </si>
  <si>
    <t xml:space="preserve">   매출 대비: BEP 133,333원 → 기준 유통가 153,846원 (영업이익률 정확히 10%)</t>
  </si>
  <si>
    <t xml:space="preserve">   원가 가산: BEP 125,000원 → 기준 유통가 137,500원 (실제 영업이익률 9.1%)</t>
  </si>
  <si>
    <t xml:space="preserve">   BEP를 '영업이익 0원인 지점'으로 쓰시려면 매출 대비 방식이 맞습니다.</t>
  </si>
  <si>
    <t>6. 두 판매가 시트의 차이</t>
  </si>
  <si>
    <t>판매가산출 시트 : 수입 자재를 태성정밀에 공급하는 가격. 부대비용 + 이윤으로 단순 계산.</t>
  </si>
  <si>
    <t>상품판매가 시트 : 수입품·국내구매품을 유통하는 가격. 판관비를 태워 BEP를 먼저 잡습니다.</t>
  </si>
  <si>
    <t>7. 확인이 필요한 항목</t>
  </si>
  <si>
    <t>· 부대비용 8%는 물품대에 일괄 적용됩니다. 관세는 HS코드별, 운임은 중량·부피 기준이라</t>
  </si>
  <si>
    <t xml:space="preserve">  품목별 편차가 크면 통관비·운임을 실비로 분리하는 편이 정확합니다.</t>
  </si>
  <si>
    <t>· 환율 기준 시점(매입일 / 통관 과세환율 / 결제일)을 정해야 재무 대사가 맞습니다.</t>
  </si>
  <si>
    <t>· 판관비율 25%는 임의의 출발값입니다. 실제 손익계산서의 판관비 ÷ 매출액으로 바꿔 주세요.</t>
  </si>
  <si>
    <t>· 판관비를 품목별로 배부할지(매출 비례 / 물량 비례) 정해 두면 품목별 H열로 조정할 수 있습니다.</t>
  </si>
  <si>
    <t>· 이 파일의 환율과 품목은 모두 예시입니다. 실제 값으로 교체한 뒤 사용하세요.</t>
  </si>
  <si>
    <t>수입자재 판매가 산출 — 설정</t>
  </si>
  <si>
    <t>플로우텍 수입 → 태성정밀 공급 · 모든 금액 부가세 별도</t>
  </si>
  <si>
    <t>■ 환율</t>
  </si>
  <si>
    <t>기준 선택</t>
  </si>
  <si>
    <t>전월 평균</t>
  </si>
  <si>
    <t>전월 평균 / 당월 평균 / 직접 입력 중에서 고릅니다.</t>
  </si>
  <si>
    <t>대상 월(날짜)</t>
  </si>
  <si>
    <t>오늘 날짜에서 자동 계산됩니다. 손대지 마세요.</t>
  </si>
  <si>
    <t>적용 연월</t>
  </si>
  <si>
    <t>월평균환율 시트에서 이 연월을 찾아 환율을 가져옵니다.</t>
  </si>
  <si>
    <t>직접 지정 연월</t>
  </si>
  <si>
    <t>2026-08</t>
  </si>
  <si>
    <t>기준 선택이 "직접 입력"일 때만 사용합니다. YYYY-MM 형식.</t>
  </si>
  <si>
    <t>적용 USD / 원</t>
  </si>
  <si>
    <t>월평균환율 시트에 해당 연월이 없으면 아래 수동 환율을 씁니다.</t>
  </si>
  <si>
    <t>적용 CNY / 원</t>
  </si>
  <si>
    <t>수동 USD / 원</t>
  </si>
  <si>
    <t>예비값입니다. 실제 환율로 바꿔 주세요.</t>
  </si>
  <si>
    <t>수동 CNY / 원</t>
  </si>
  <si>
    <t>■ 원가 · 이윤</t>
  </si>
  <si>
    <t>부대비용률</t>
  </si>
  <si>
    <t>운임 · 관세 · 통관수수료 · 창고/내륙운송 · 환리스크를 통으로 잡은 비율.</t>
  </si>
  <si>
    <t>품목별로 다르게 주려면 판매가산출 시트 G열에 개별 입력하세요.</t>
  </si>
  <si>
    <t>계산 방식</t>
  </si>
  <si>
    <t>판매가 마진</t>
  </si>
  <si>
    <t>"원가 가산" = 입고원가 × 1.30 · "판매가 마진" = 입고원가 ÷ 0.70</t>
  </si>
  <si>
    <t>판매단가 절상 단위</t>
  </si>
  <si>
    <t>1이면 반올림, 10/100/1000이면 그 단위로 올림 처리합니다.</t>
  </si>
  <si>
    <t>■ 상품 판매가 (수입품 · 국내구매품 유통)</t>
  </si>
  <si>
    <t>국내 부대비용률</t>
  </si>
  <si>
    <t>국내구매품의 운반비 · 검수비 등. 없으면 0%.</t>
  </si>
  <si>
    <t>인건비 · 임차료 · 물류 · 판촉 등 판매관리비. 실제 손익계산서 비율로 바꾸세요.</t>
  </si>
  <si>
    <t>기준 유통가에 얹을 목표 영업이익.</t>
  </si>
  <si>
    <t>상품가 계산 방식</t>
  </si>
  <si>
    <t>매출 대비</t>
  </si>
  <si>
    <t>"매출 대비" = 매입원가 ÷ (1 − 판관비율 − 영업이익률) · "원가 가산" = 매입원가 × (1+판관비율) × (1+영업이익률)</t>
  </si>
  <si>
    <t>기준유통가 절상 단위</t>
  </si>
  <si>
    <t>1이면 반올림, 100/1000이면 그 단위로 올림.</t>
  </si>
  <si>
    <t>■ 범례</t>
  </si>
  <si>
    <t>파란 글씨</t>
  </si>
  <si>
    <t>직접 입력하는 칸</t>
  </si>
  <si>
    <t>노란 채우기</t>
  </si>
  <si>
    <t>반드시 확인하고 채워야 하는 칸</t>
  </si>
  <si>
    <t>검정 글씨</t>
  </si>
  <si>
    <t>수식 — 손대지 마세요</t>
  </si>
  <si>
    <t>초록 글씨</t>
  </si>
  <si>
    <t>다른 시트를 참조하는 수식</t>
  </si>
  <si>
    <t>월평균 매매기준율</t>
  </si>
  <si>
    <t>출처: 서울외국환중개 http://www.smbs.biz/ExRate/MonAvgStdExRate.jsp — 매달 갱신하세요.</t>
  </si>
  <si>
    <t>연월</t>
  </si>
  <si>
    <t>USD / 원</t>
  </si>
  <si>
    <t>CNY / 원</t>
  </si>
  <si>
    <t>2026-03</t>
  </si>
  <si>
    <t>2026-02</t>
  </si>
  <si>
    <t>2026-01</t>
  </si>
  <si>
    <t>2026-04</t>
  </si>
  <si>
    <t>2026-05</t>
  </si>
  <si>
    <t>2026-06</t>
  </si>
  <si>
    <t>2026-07</t>
  </si>
  <si>
    <t>연월은 반드시 텍스트 YYYY-MM 형식으로 넣으세요. 날짜로 바뀌면 설정 시트가 값을 찾지 못합니다.</t>
  </si>
  <si>
    <t>최종 유통가 보고</t>
  </si>
  <si>
    <t>매입단가</t>
  </si>
  <si>
    <t>최종 유통가</t>
  </si>
  <si>
    <t>이 시트는 상품판매가산출 시트를 그대로 비추기만 합니다. 값은 그쪽에서 고치세요.</t>
  </si>
  <si>
    <t>최종 유통가는 영업이 입력한 값이며, 비어 있으면 기준 유통가가 그대로 적용된 것입니다.</t>
  </si>
  <si>
    <t>매입단가는 부대비용까지 더한 개당 매입원가입니다.</t>
  </si>
  <si>
    <t>빈 줄을 감추려면 머리글의 필터에서 '(필드 값 없음)' 체크를 해제하세요.</t>
  </si>
  <si>
    <t>최종 유통가가 BEP 가격보다 낮으면 빨갛게 표시됩니다 — 팔수록 손해입니다.</t>
  </si>
  <si>
    <t>2025-12</t>
    <phoneticPr fontId="11" type="noConversion"/>
  </si>
  <si>
    <t>2025-11</t>
    <phoneticPr fontId="11" type="noConversion"/>
  </si>
  <si>
    <t>2025-10</t>
  </si>
  <si>
    <t>2025-09</t>
    <phoneticPr fontId="11" type="noConversion"/>
  </si>
  <si>
    <t>710232.0</t>
    <phoneticPr fontId="11" type="noConversion"/>
  </si>
  <si>
    <t>710232.BN</t>
    <phoneticPr fontId="11" type="noConversion"/>
  </si>
  <si>
    <t>수입</t>
  </si>
  <si>
    <t>원홀세면수전</t>
    <phoneticPr fontId="11" type="noConversion"/>
  </si>
  <si>
    <t>욕조수전</t>
    <phoneticPr fontId="11" type="noConversion"/>
  </si>
  <si>
    <t>번호</t>
    <phoneticPr fontId="11" type="noConversion"/>
  </si>
  <si>
    <t>품명</t>
    <phoneticPr fontId="11" type="noConversion"/>
  </si>
  <si>
    <t>몸통</t>
    <phoneticPr fontId="11" type="noConversion"/>
  </si>
  <si>
    <t>행거</t>
    <phoneticPr fontId="11" type="noConversion"/>
  </si>
  <si>
    <t>샤워헤드</t>
    <phoneticPr fontId="11" type="noConversion"/>
  </si>
  <si>
    <t>메탈호스</t>
    <phoneticPr fontId="11" type="noConversion"/>
  </si>
  <si>
    <t>사각 욕조수전 크롬</t>
    <phoneticPr fontId="11" type="noConversion"/>
  </si>
  <si>
    <t>사각 욕조수전 브러시니켈</t>
    <phoneticPr fontId="11" type="noConversion"/>
  </si>
  <si>
    <t>사각 원홀세면수전 크롬</t>
    <phoneticPr fontId="11" type="noConversion"/>
  </si>
  <si>
    <t>사각 원홀세면수전 브러시니켈</t>
    <phoneticPr fontId="11" type="noConversion"/>
  </si>
  <si>
    <t>KRW</t>
  </si>
  <si>
    <t>국내</t>
  </si>
  <si>
    <t>원형 원홀세면수전 크롬</t>
    <phoneticPr fontId="11" type="noConversion"/>
  </si>
  <si>
    <t>원홀 원홀세면수전 브러시니켈</t>
    <phoneticPr fontId="11" type="noConversion"/>
  </si>
  <si>
    <t>원형 욕조수전 크롬</t>
    <phoneticPr fontId="11" type="noConversion"/>
  </si>
  <si>
    <t>원형 욕조수전 브러시니켈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</si>
</sst>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%"/>
    <numFmt numFmtId="178" formatCode="#,##0;\(#,##0\);\-"/>
    <numFmt numFmtId="179" formatCode="0.00_);[Red]\(0.00\)"/>
  </numFmts>
  <fonts count="27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14606B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rgb="FF008000"/>
      <name val="맑은 고딕"/>
      <family val="3"/>
      <charset val="129"/>
    </font>
    <font>
      <sz val="9"/>
      <color rgb="FFC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rgb="FF808080"/>
      <name val="맑은 고딕"/>
      <family val="3"/>
      <charset val="129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</font>
    <font>
      <sz val="10"/>
      <color rgb="FF0080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C0000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b/>
      <sz val="9"/>
      <color theme="0" tint="-0.499984740745262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10"/>
      <color rgb="FF00B05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1" fillId="3" borderId="2">
      <alignment vertical="center"/>
    </xf>
  </cellStyleXfs>
  <cellXfs count="113">
    <xf numFmtId="0" fontId="0" fillId="0" borderId="0" xfId="0"/>
    <xf numFmtId="0" fontId="2" fillId="0" borderId="0" xfId="0" applyFont="1"/>
    <xf numFmtId="0" fontId="5" fillId="0" borderId="0" xfId="0" applyFont="1"/>
    <xf numFmtId="0" fontId="10" fillId="0" borderId="0" xfId="0" applyFont="1"/>
    <xf numFmtId="0" fontId="3" fillId="0" borderId="0" xfId="0" applyFont="1"/>
    <xf numFmtId="0" fontId="9" fillId="0" borderId="0" xfId="0" applyFont="1"/>
    <xf numFmtId="0" fontId="5" fillId="0" borderId="4" xfId="0" applyFont="1" applyBorder="1"/>
    <xf numFmtId="0" fontId="10" fillId="0" borderId="4" xfId="0" applyFont="1" applyBorder="1"/>
    <xf numFmtId="0" fontId="5" fillId="0" borderId="5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0" fillId="4" borderId="7" xfId="0" applyFill="1" applyBorder="1"/>
    <xf numFmtId="0" fontId="0" fillId="4" borderId="8" xfId="0" applyFill="1" applyBorder="1"/>
    <xf numFmtId="0" fontId="8" fillId="0" borderId="9" xfId="0" applyFont="1" applyBorder="1"/>
    <xf numFmtId="0" fontId="12" fillId="0" borderId="9" xfId="0" applyFont="1" applyBorder="1"/>
    <xf numFmtId="0" fontId="0" fillId="0" borderId="10" xfId="0" applyBorder="1"/>
    <xf numFmtId="0" fontId="0" fillId="4" borderId="10" xfId="0" applyFill="1" applyBorder="1"/>
    <xf numFmtId="0" fontId="0" fillId="4" borderId="0" xfId="0" applyFill="1"/>
    <xf numFmtId="0" fontId="8" fillId="2" borderId="9" xfId="0" applyFont="1" applyFill="1" applyBorder="1"/>
    <xf numFmtId="0" fontId="0" fillId="0" borderId="13" xfId="0" applyBorder="1"/>
    <xf numFmtId="0" fontId="8" fillId="4" borderId="15" xfId="0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/>
    </xf>
    <xf numFmtId="49" fontId="6" fillId="0" borderId="19" xfId="0" applyNumberFormat="1" applyFont="1" applyBorder="1" applyAlignment="1">
      <alignment horizontal="center"/>
    </xf>
    <xf numFmtId="0" fontId="0" fillId="0" borderId="8" xfId="0" applyBorder="1"/>
    <xf numFmtId="0" fontId="13" fillId="0" borderId="0" xfId="0" applyFont="1"/>
    <xf numFmtId="0" fontId="13" fillId="0" borderId="10" xfId="0" applyFont="1" applyBorder="1"/>
    <xf numFmtId="0" fontId="12" fillId="0" borderId="10" xfId="0" applyFont="1" applyBorder="1"/>
    <xf numFmtId="0" fontId="12" fillId="4" borderId="10" xfId="0" applyFont="1" applyFill="1" applyBorder="1"/>
    <xf numFmtId="49" fontId="5" fillId="0" borderId="17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14" fillId="0" borderId="9" xfId="0" applyFont="1" applyBorder="1"/>
    <xf numFmtId="0" fontId="15" fillId="0" borderId="0" xfId="0" applyFont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4" fontId="5" fillId="2" borderId="1" xfId="0" applyNumberFormat="1" applyFont="1" applyFill="1" applyBorder="1" applyAlignment="1">
      <alignment horizontal="center" vertical="center"/>
    </xf>
    <xf numFmtId="0" fontId="8" fillId="4" borderId="9" xfId="0" applyFont="1" applyFill="1" applyBorder="1"/>
    <xf numFmtId="0" fontId="15" fillId="4" borderId="0" xfId="0" applyFont="1" applyFill="1" applyAlignment="1">
      <alignment horizontal="center" vertical="center"/>
    </xf>
    <xf numFmtId="177" fontId="5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0" fontId="8" fillId="4" borderId="6" xfId="0" applyFont="1" applyFill="1" applyBorder="1"/>
    <xf numFmtId="0" fontId="8" fillId="0" borderId="11" xfId="0" applyFont="1" applyBorder="1"/>
    <xf numFmtId="178" fontId="9" fillId="0" borderId="14" xfId="0" applyNumberFormat="1" applyFont="1" applyBorder="1"/>
    <xf numFmtId="178" fontId="7" fillId="0" borderId="14" xfId="0" applyNumberFormat="1" applyFont="1" applyBorder="1"/>
    <xf numFmtId="177" fontId="6" fillId="0" borderId="14" xfId="0" applyNumberFormat="1" applyFont="1" applyBorder="1"/>
    <xf numFmtId="177" fontId="7" fillId="0" borderId="14" xfId="0" applyNumberFormat="1" applyFont="1" applyBorder="1"/>
    <xf numFmtId="0" fontId="6" fillId="5" borderId="14" xfId="0" applyFont="1" applyFill="1" applyBorder="1" applyAlignment="1">
      <alignment horizontal="center" vertical="center"/>
    </xf>
    <xf numFmtId="4" fontId="6" fillId="5" borderId="14" xfId="0" applyNumberFormat="1" applyFont="1" applyFill="1" applyBorder="1"/>
    <xf numFmtId="3" fontId="6" fillId="5" borderId="14" xfId="0" applyNumberFormat="1" applyFont="1" applyFill="1" applyBorder="1"/>
    <xf numFmtId="177" fontId="6" fillId="5" borderId="14" xfId="0" applyNumberFormat="1" applyFont="1" applyFill="1" applyBorder="1"/>
    <xf numFmtId="178" fontId="6" fillId="5" borderId="14" xfId="0" applyNumberFormat="1" applyFont="1" applyFill="1" applyBorder="1"/>
    <xf numFmtId="0" fontId="6" fillId="5" borderId="17" xfId="0" applyFont="1" applyFill="1" applyBorder="1"/>
    <xf numFmtId="178" fontId="7" fillId="0" borderId="18" xfId="0" applyNumberFormat="1" applyFont="1" applyBorder="1"/>
    <xf numFmtId="0" fontId="8" fillId="4" borderId="19" xfId="0" applyFont="1" applyFill="1" applyBorder="1"/>
    <xf numFmtId="0" fontId="0" fillId="4" borderId="20" xfId="0" applyFill="1" applyBorder="1"/>
    <xf numFmtId="3" fontId="8" fillId="4" borderId="20" xfId="0" applyNumberFormat="1" applyFont="1" applyFill="1" applyBorder="1"/>
    <xf numFmtId="177" fontId="8" fillId="4" borderId="20" xfId="0" applyNumberFormat="1" applyFont="1" applyFill="1" applyBorder="1"/>
    <xf numFmtId="178" fontId="8" fillId="4" borderId="20" xfId="0" applyNumberFormat="1" applyFont="1" applyFill="1" applyBorder="1"/>
    <xf numFmtId="178" fontId="8" fillId="4" borderId="21" xfId="0" applyNumberFormat="1" applyFont="1" applyFill="1" applyBorder="1"/>
    <xf numFmtId="0" fontId="6" fillId="5" borderId="22" xfId="0" applyFont="1" applyFill="1" applyBorder="1"/>
    <xf numFmtId="0" fontId="6" fillId="5" borderId="23" xfId="0" applyFont="1" applyFill="1" applyBorder="1" applyAlignment="1">
      <alignment horizontal="center" vertical="center"/>
    </xf>
    <xf numFmtId="4" fontId="6" fillId="5" borderId="23" xfId="0" applyNumberFormat="1" applyFont="1" applyFill="1" applyBorder="1"/>
    <xf numFmtId="178" fontId="6" fillId="5" borderId="23" xfId="0" applyNumberFormat="1" applyFont="1" applyFill="1" applyBorder="1"/>
    <xf numFmtId="3" fontId="6" fillId="5" borderId="23" xfId="0" applyNumberFormat="1" applyFont="1" applyFill="1" applyBorder="1"/>
    <xf numFmtId="178" fontId="9" fillId="0" borderId="23" xfId="0" applyNumberFormat="1" applyFont="1" applyBorder="1"/>
    <xf numFmtId="177" fontId="6" fillId="0" borderId="23" xfId="0" applyNumberFormat="1" applyFont="1" applyBorder="1"/>
    <xf numFmtId="178" fontId="7" fillId="0" borderId="23" xfId="0" applyNumberFormat="1" applyFont="1" applyBorder="1"/>
    <xf numFmtId="177" fontId="7" fillId="0" borderId="23" xfId="0" applyNumberFormat="1" applyFont="1" applyBorder="1"/>
    <xf numFmtId="178" fontId="7" fillId="0" borderId="24" xfId="0" applyNumberFormat="1" applyFont="1" applyBorder="1"/>
    <xf numFmtId="0" fontId="8" fillId="4" borderId="25" xfId="0" applyFont="1" applyFill="1" applyBorder="1" applyAlignment="1">
      <alignment horizontal="center" vertical="center" wrapText="1"/>
    </xf>
    <xf numFmtId="0" fontId="8" fillId="4" borderId="26" xfId="0" applyFont="1" applyFill="1" applyBorder="1" applyAlignment="1">
      <alignment horizontal="center" vertical="center" wrapText="1"/>
    </xf>
    <xf numFmtId="0" fontId="8" fillId="4" borderId="27" xfId="0" applyFont="1" applyFill="1" applyBorder="1" applyAlignment="1">
      <alignment horizontal="center" vertical="center" wrapText="1"/>
    </xf>
    <xf numFmtId="177" fontId="6" fillId="5" borderId="23" xfId="0" applyNumberFormat="1" applyFont="1" applyFill="1" applyBorder="1"/>
    <xf numFmtId="0" fontId="6" fillId="5" borderId="30" xfId="0" applyFont="1" applyFill="1" applyBorder="1"/>
    <xf numFmtId="0" fontId="8" fillId="4" borderId="31" xfId="0" applyFont="1" applyFill="1" applyBorder="1"/>
    <xf numFmtId="0" fontId="6" fillId="5" borderId="29" xfId="0" applyFont="1" applyFill="1" applyBorder="1"/>
    <xf numFmtId="179" fontId="6" fillId="0" borderId="20" xfId="0" applyNumberFormat="1" applyFont="1" applyBorder="1"/>
    <xf numFmtId="179" fontId="6" fillId="0" borderId="14" xfId="0" applyNumberFormat="1" applyFont="1" applyBorder="1"/>
    <xf numFmtId="179" fontId="16" fillId="0" borderId="14" xfId="1" applyNumberFormat="1" applyFont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19" fillId="0" borderId="0" xfId="0" applyFont="1"/>
    <xf numFmtId="0" fontId="22" fillId="0" borderId="0" xfId="0" applyFont="1"/>
    <xf numFmtId="0" fontId="17" fillId="0" borderId="0" xfId="0" applyFont="1"/>
    <xf numFmtId="0" fontId="18" fillId="0" borderId="0" xfId="0" applyFont="1"/>
    <xf numFmtId="0" fontId="20" fillId="4" borderId="14" xfId="0" applyFont="1" applyFill="1" applyBorder="1" applyAlignment="1">
      <alignment horizontal="center" vertical="center" wrapText="1"/>
    </xf>
    <xf numFmtId="0" fontId="21" fillId="0" borderId="14" xfId="0" applyFont="1" applyBorder="1" applyAlignment="1">
      <alignment horizontal="left" vertical="center"/>
    </xf>
    <xf numFmtId="178" fontId="21" fillId="0" borderId="14" xfId="0" applyNumberFormat="1" applyFont="1" applyBorder="1" applyAlignment="1">
      <alignment horizontal="right" vertical="center"/>
    </xf>
    <xf numFmtId="3" fontId="21" fillId="0" borderId="14" xfId="0" applyNumberFormat="1" applyFont="1" applyBorder="1" applyAlignment="1">
      <alignment horizontal="right" vertical="center"/>
    </xf>
    <xf numFmtId="177" fontId="21" fillId="0" borderId="14" xfId="0" applyNumberFormat="1" applyFont="1" applyBorder="1" applyAlignment="1">
      <alignment horizontal="right" vertical="center"/>
    </xf>
    <xf numFmtId="0" fontId="20" fillId="6" borderId="14" xfId="0" applyFont="1" applyFill="1" applyBorder="1"/>
    <xf numFmtId="0" fontId="0" fillId="6" borderId="14" xfId="0" applyFill="1" applyBorder="1"/>
    <xf numFmtId="3" fontId="20" fillId="6" borderId="14" xfId="0" applyNumberFormat="1" applyFont="1" applyFill="1" applyBorder="1" applyAlignment="1">
      <alignment horizontal="right" vertical="center"/>
    </xf>
    <xf numFmtId="177" fontId="20" fillId="6" borderId="14" xfId="0" applyNumberFormat="1" applyFont="1" applyFill="1" applyBorder="1" applyAlignment="1">
      <alignment horizontal="right" vertical="center"/>
    </xf>
    <xf numFmtId="178" fontId="20" fillId="6" borderId="14" xfId="0" applyNumberFormat="1" applyFont="1" applyFill="1" applyBorder="1" applyAlignment="1">
      <alignment horizontal="right" vertical="center"/>
    </xf>
    <xf numFmtId="0" fontId="23" fillId="0" borderId="0" xfId="0" applyFont="1"/>
    <xf numFmtId="0" fontId="23" fillId="0" borderId="10" xfId="0" applyFont="1" applyBorder="1"/>
    <xf numFmtId="0" fontId="24" fillId="0" borderId="12" xfId="0" applyFont="1" applyBorder="1"/>
    <xf numFmtId="49" fontId="6" fillId="5" borderId="29" xfId="0" applyNumberFormat="1" applyFont="1" applyFill="1" applyBorder="1"/>
    <xf numFmtId="49" fontId="6" fillId="5" borderId="30" xfId="0" applyNumberFormat="1" applyFont="1" applyFill="1" applyBorder="1"/>
    <xf numFmtId="178" fontId="25" fillId="0" borderId="23" xfId="0" applyNumberFormat="1" applyFont="1" applyBorder="1"/>
    <xf numFmtId="178" fontId="25" fillId="0" borderId="14" xfId="0" applyNumberFormat="1" applyFont="1" applyBorder="1"/>
    <xf numFmtId="178" fontId="26" fillId="0" borderId="23" xfId="0" applyNumberFormat="1" applyFont="1" applyBorder="1"/>
    <xf numFmtId="178" fontId="26" fillId="0" borderId="14" xfId="0" applyNumberFormat="1" applyFont="1" applyBorder="1"/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</cellXfs>
  <cellStyles count="3">
    <cellStyle name="메모 2" xfId="2" xr:uid="{00000000-0005-0000-0000-00002A000000}"/>
    <cellStyle name="표준" xfId="0" builtinId="0"/>
    <cellStyle name="표준 2" xfId="1" xr:uid="{00000000-0005-0000-0000-000029000000}"/>
  </cellStyles>
  <dxfs count="3">
    <dxf>
      <font>
        <b/>
        <sz val="10"/>
        <color rgb="FF9C0006"/>
        <name val="맑은 고딕"/>
      </font>
      <fill>
        <patternFill patternType="solid">
          <fgColor rgb="FFFFC7CE"/>
        </patternFill>
      </fill>
    </dxf>
    <dxf>
      <font>
        <sz val="10"/>
        <color rgb="FFC55A11"/>
        <name val="맑은 고딕"/>
      </font>
    </dxf>
    <dxf>
      <font>
        <b/>
        <sz val="10"/>
        <color rgb="FF9C0006"/>
        <name val="맑은 고딕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USD / </a:t>
            </a:r>
            <a:r>
              <a:rPr lang="ko-KR" altLang="en-US"/>
              <a:t>원 월평균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월평균환율!$C$5</c:f>
              <c:strCache>
                <c:ptCount val="1"/>
                <c:pt idx="0">
                  <c:v>USD / 원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월평균환율!$B$6:$B$17</c:f>
              <c:strCache>
                <c:ptCount val="12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  <c:pt idx="9">
                  <c:v>2026-06</c:v>
                </c:pt>
                <c:pt idx="10">
                  <c:v>2026-07</c:v>
                </c:pt>
                <c:pt idx="11">
                  <c:v>2026-08</c:v>
                </c:pt>
              </c:strCache>
            </c:strRef>
          </c:cat>
          <c:val>
            <c:numRef>
              <c:f>월평균환율!$C$6:$C$17</c:f>
              <c:numCache>
                <c:formatCode>0.00_);[Red]\(0.00\)</c:formatCode>
                <c:ptCount val="12"/>
                <c:pt idx="0">
                  <c:v>1391.83</c:v>
                </c:pt>
                <c:pt idx="1">
                  <c:v>1423.36</c:v>
                </c:pt>
                <c:pt idx="2">
                  <c:v>1457.77</c:v>
                </c:pt>
                <c:pt idx="3">
                  <c:v>1467.4</c:v>
                </c:pt>
                <c:pt idx="4">
                  <c:v>1456.51</c:v>
                </c:pt>
                <c:pt idx="5">
                  <c:v>1449.32</c:v>
                </c:pt>
                <c:pt idx="6">
                  <c:v>1486.64</c:v>
                </c:pt>
                <c:pt idx="7">
                  <c:v>1487.39</c:v>
                </c:pt>
                <c:pt idx="8">
                  <c:v>1490.11</c:v>
                </c:pt>
                <c:pt idx="9">
                  <c:v>1527.3</c:v>
                </c:pt>
                <c:pt idx="10">
                  <c:v>1497.43</c:v>
                </c:pt>
                <c:pt idx="11">
                  <c:v>1406.3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BC-4C4A-8908-11B358D42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0_);[Red]\(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CNY / </a:t>
            </a:r>
            <a:r>
              <a:rPr lang="ko-KR" altLang="en-US"/>
              <a:t>원 월평균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월평균환율!$D$5</c:f>
              <c:strCache>
                <c:ptCount val="1"/>
                <c:pt idx="0">
                  <c:v>CNY / 원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월평균환율!$B$6:$B$17</c:f>
              <c:strCache>
                <c:ptCount val="12"/>
                <c:pt idx="0">
                  <c:v>2025-09</c:v>
                </c:pt>
                <c:pt idx="1">
                  <c:v>2025-10</c:v>
                </c:pt>
                <c:pt idx="2">
                  <c:v>2025-11</c:v>
                </c:pt>
                <c:pt idx="3">
                  <c:v>2025-12</c:v>
                </c:pt>
                <c:pt idx="4">
                  <c:v>2026-01</c:v>
                </c:pt>
                <c:pt idx="5">
                  <c:v>2026-02</c:v>
                </c:pt>
                <c:pt idx="6">
                  <c:v>2026-03</c:v>
                </c:pt>
                <c:pt idx="7">
                  <c:v>2026-04</c:v>
                </c:pt>
                <c:pt idx="8">
                  <c:v>2026-05</c:v>
                </c:pt>
                <c:pt idx="9">
                  <c:v>2026-06</c:v>
                </c:pt>
                <c:pt idx="10">
                  <c:v>2026-07</c:v>
                </c:pt>
                <c:pt idx="11">
                  <c:v>2026-08</c:v>
                </c:pt>
              </c:strCache>
            </c:strRef>
          </c:cat>
          <c:val>
            <c:numRef>
              <c:f>월평균환율!$D$6:$D$17</c:f>
              <c:numCache>
                <c:formatCode>0.00_);[Red]\(0.00\)</c:formatCode>
                <c:ptCount val="12"/>
                <c:pt idx="0">
                  <c:v>195.36</c:v>
                </c:pt>
                <c:pt idx="1">
                  <c:v>199.82</c:v>
                </c:pt>
                <c:pt idx="2">
                  <c:v>205.04</c:v>
                </c:pt>
                <c:pt idx="3">
                  <c:v>208.26</c:v>
                </c:pt>
                <c:pt idx="4">
                  <c:v>209.08</c:v>
                </c:pt>
                <c:pt idx="5">
                  <c:v>209.73</c:v>
                </c:pt>
                <c:pt idx="6">
                  <c:v>215.65</c:v>
                </c:pt>
                <c:pt idx="7">
                  <c:v>217.41</c:v>
                </c:pt>
                <c:pt idx="8">
                  <c:v>219.11</c:v>
                </c:pt>
                <c:pt idx="9">
                  <c:v>225.51</c:v>
                </c:pt>
                <c:pt idx="10">
                  <c:v>220.94</c:v>
                </c:pt>
                <c:pt idx="11">
                  <c:v>208.69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FF-4B2F-B743-F4B48EED7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0_);[Red]\(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529590</xdr:colOff>
      <xdr:row>4</xdr:row>
      <xdr:rowOff>104775</xdr:rowOff>
    </xdr:from>
    <xdr:ext cx="5271135" cy="25812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529590</xdr:colOff>
      <xdr:row>16</xdr:row>
      <xdr:rowOff>133350</xdr:rowOff>
    </xdr:from>
    <xdr:ext cx="5271135" cy="258127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B1:O30"/>
  <sheetViews>
    <sheetView showGridLines="0" zoomScale="115" zoomScaleNormal="115" workbookViewId="0">
      <selection activeCell="K6" sqref="K6"/>
    </sheetView>
  </sheetViews>
  <sheetFormatPr defaultRowHeight="17.399999999999999"/>
  <cols>
    <col min="1" max="1" width="3.69921875" customWidth="1"/>
    <col min="2" max="2" width="23.5" customWidth="1"/>
    <col min="3" max="3" width="12.59765625" customWidth="1"/>
    <col min="4" max="4" width="4.796875" bestFit="1" customWidth="1"/>
    <col min="5" max="5" width="8.796875" bestFit="1" customWidth="1"/>
    <col min="6" max="6" width="5.3984375" bestFit="1" customWidth="1"/>
    <col min="7" max="7" width="13" customWidth="1"/>
    <col min="8" max="8" width="12" customWidth="1"/>
    <col min="9" max="9" width="9" customWidth="1"/>
    <col min="10" max="10" width="12.796875" customWidth="1"/>
    <col min="11" max="11" width="11.5" customWidth="1"/>
    <col min="12" max="12" width="12" customWidth="1"/>
    <col min="13" max="13" width="9" customWidth="1"/>
    <col min="14" max="15" width="15" customWidth="1"/>
  </cols>
  <sheetData>
    <row r="1" spans="2:15" ht="15" customHeight="1"/>
    <row r="2" spans="2:15" ht="21" customHeight="1">
      <c r="B2" s="1" t="s">
        <v>29</v>
      </c>
      <c r="C2" s="1"/>
    </row>
    <row r="3" spans="2:15">
      <c r="B3" s="5" t="str">
        <f ca="1">" 적용 환율: "&amp;설정!$C$8&amp;"  ·  USD "&amp;TEXT(설정!$C$11,"#,##0.00")&amp;"  ·  CNY "&amp;TEXT(설정!$C$12,"#,##0.00")&amp;"  ·  부대비용 "&amp;TEXT(설정!$C$17,"0.0%")&amp;"  ·  "&amp;설정!$C$19&amp;" "&amp;TEXT(설정!$C$18,"0.0%")</f>
        <v xml:space="preserve"> 적용 환율: 2026-08  ·  USD 1,406.30  ·  CNY 208.69  ·  부대비용 10.0%  ·  판매가 마진 30.0%</v>
      </c>
      <c r="C3" s="5"/>
    </row>
    <row r="4" spans="2:15" ht="18" customHeight="1" thickBot="1"/>
    <row r="5" spans="2:15" ht="34.950000000000003" customHeight="1" thickBot="1">
      <c r="B5" s="71" t="s">
        <v>30</v>
      </c>
      <c r="C5" s="81" t="s">
        <v>2</v>
      </c>
      <c r="D5" s="72" t="s">
        <v>4</v>
      </c>
      <c r="E5" s="72" t="s">
        <v>5</v>
      </c>
      <c r="F5" s="72" t="s">
        <v>7</v>
      </c>
      <c r="G5" s="72" t="s">
        <v>31</v>
      </c>
      <c r="H5" s="72" t="s">
        <v>32</v>
      </c>
      <c r="I5" s="72" t="s">
        <v>33</v>
      </c>
      <c r="J5" s="72" t="s">
        <v>34</v>
      </c>
      <c r="K5" s="72" t="s">
        <v>35</v>
      </c>
      <c r="L5" s="72" t="s">
        <v>36</v>
      </c>
      <c r="M5" s="72" t="s">
        <v>37</v>
      </c>
      <c r="N5" s="72" t="s">
        <v>38</v>
      </c>
      <c r="O5" s="73" t="s">
        <v>39</v>
      </c>
    </row>
    <row r="6" spans="2:15" ht="18" customHeight="1" thickTop="1">
      <c r="B6" s="61"/>
      <c r="C6" s="99" t="s">
        <v>169</v>
      </c>
      <c r="D6" s="62" t="s">
        <v>40</v>
      </c>
      <c r="E6" s="63">
        <v>8.5</v>
      </c>
      <c r="F6" s="65">
        <v>300</v>
      </c>
      <c r="G6" s="66">
        <f ca="1">IF(N($E6)=0,"",$E6*IF($D6="USD",설정!$C$11,IF($D6="CNY",설정!$C$12,1)))</f>
        <v>11953.55</v>
      </c>
      <c r="H6" s="68">
        <f ca="1">IF($G6="","",$G6*(1+설정!$C$17))</f>
        <v>13148.905000000001</v>
      </c>
      <c r="I6" s="74"/>
      <c r="J6" s="69">
        <f ca="1">IF($G6="","",IF($I6="",설정!$C$18,$I6))</f>
        <v>0.3</v>
      </c>
      <c r="K6" s="101">
        <f ca="1">IF($H6="","",IFERROR(IF(설정!$C$20&lt;=1,ROUND(IF(설정!$C$19="판매가 마진",$H6/(1-$J6),$H6*(1+$J6)),0),CEILING(IF(설정!$C$19="판매가 마진",$H6/(1-$J6),$H6*(1+$J6)),설정!$C$20)),0))</f>
        <v>18800</v>
      </c>
      <c r="L6" s="68">
        <f t="shared" ref="L6:L24" ca="1" si="0">IF($K6="","",$K6-$H6)</f>
        <v>5651.0949999999993</v>
      </c>
      <c r="M6" s="69">
        <f t="shared" ref="M6:M24" ca="1" si="1">IF(N($K6)=0,"",$L6/$K6)</f>
        <v>0.30059015957446805</v>
      </c>
      <c r="N6" s="68">
        <f t="shared" ref="N6:N24" ca="1" si="2">IF($K6="","",$K6*$F6)</f>
        <v>5640000</v>
      </c>
      <c r="O6" s="70">
        <f t="shared" ref="O6:O24" ca="1" si="3">IF($H6="","",$H6*$F6)</f>
        <v>3944671.5</v>
      </c>
    </row>
    <row r="7" spans="2:15">
      <c r="B7" s="53"/>
      <c r="C7" s="100" t="s">
        <v>170</v>
      </c>
      <c r="D7" s="48" t="s">
        <v>40</v>
      </c>
      <c r="E7" s="49">
        <v>9.3000000000000007</v>
      </c>
      <c r="F7" s="50">
        <v>314</v>
      </c>
      <c r="G7" s="44">
        <f ca="1">IF(N($E7)=0,"",$E7*IF($D7="USD",설정!$C$11,IF($D7="CNY",설정!$C$12,1)))</f>
        <v>13078.59</v>
      </c>
      <c r="H7" s="45">
        <f ca="1">IF($G7="","",$G7*(1+설정!$C$17))</f>
        <v>14386.449000000001</v>
      </c>
      <c r="I7" s="51"/>
      <c r="J7" s="47">
        <f ca="1">IF($G7="","",IF($I7="",설정!$C$18,$I7))</f>
        <v>0.3</v>
      </c>
      <c r="K7" s="102">
        <f ca="1">IF($H7="","",IFERROR(IF(설정!$C$20&lt;=1,ROUND(IF(설정!$C$19="판매가 마진",$H7/(1-$J7),$H7*(1+$J7)),0),CEILING(IF(설정!$C$19="판매가 마진",$H7/(1-$J7),$H7*(1+$J7)),설정!$C$20)),0))</f>
        <v>20600</v>
      </c>
      <c r="L7" s="45">
        <f t="shared" ca="1" si="0"/>
        <v>6213.5509999999995</v>
      </c>
      <c r="M7" s="47">
        <f t="shared" ca="1" si="1"/>
        <v>0.30162868932038833</v>
      </c>
      <c r="N7" s="45">
        <f t="shared" ca="1" si="2"/>
        <v>6468400</v>
      </c>
      <c r="O7" s="54">
        <f t="shared" ca="1" si="3"/>
        <v>4517344.9860000005</v>
      </c>
    </row>
    <row r="8" spans="2:15">
      <c r="B8" s="53"/>
      <c r="C8" s="100"/>
      <c r="D8" s="48"/>
      <c r="E8" s="49"/>
      <c r="F8" s="50"/>
      <c r="G8" s="44" t="str">
        <f>IF(N($E8)=0,"",$E8*IF($D8="USD",설정!$C$11,IF($D8="CNY",설정!$C$12,1)))</f>
        <v/>
      </c>
      <c r="H8" s="45" t="str">
        <f>IF($G8="","",$G8*(1+설정!$C$17))</f>
        <v/>
      </c>
      <c r="I8" s="51"/>
      <c r="J8" s="47" t="str">
        <f>IF($G8="","",IF($I8="",설정!$C$18,$I8))</f>
        <v/>
      </c>
      <c r="K8" s="102" t="str">
        <f>IF($H8="","",IFERROR(IF(설정!$C$20&lt;=1,ROUND(IF(설정!$C$19="판매가 마진",$H8/(1-$J8),$H8*(1+$J8)),0),CEILING(IF(설정!$C$19="판매가 마진",$H8/(1-$J8),$H8*(1+$J8)),설정!$C$20)),0))</f>
        <v/>
      </c>
      <c r="L8" s="45" t="str">
        <f t="shared" si="0"/>
        <v/>
      </c>
      <c r="M8" s="47" t="str">
        <f t="shared" si="1"/>
        <v/>
      </c>
      <c r="N8" s="45" t="str">
        <f t="shared" si="2"/>
        <v/>
      </c>
      <c r="O8" s="54" t="str">
        <f t="shared" si="3"/>
        <v/>
      </c>
    </row>
    <row r="9" spans="2:15">
      <c r="B9" s="53"/>
      <c r="C9" s="100"/>
      <c r="D9" s="48"/>
      <c r="E9" s="49"/>
      <c r="F9" s="50"/>
      <c r="G9" s="44" t="str">
        <f>IF(N($E9)=0,"",$E9*IF($D9="USD",설정!$C$11,IF($D9="CNY",설정!$C$12,1)))</f>
        <v/>
      </c>
      <c r="H9" s="45" t="str">
        <f>IF($G9="","",$G9*(1+설정!$C$17))</f>
        <v/>
      </c>
      <c r="I9" s="51"/>
      <c r="J9" s="47" t="str">
        <f>IF($G9="","",IF($I9="",설정!$C$18,$I9))</f>
        <v/>
      </c>
      <c r="K9" s="102" t="str">
        <f>IF($H9="","",IFERROR(IF(설정!$C$20&lt;=1,ROUND(IF(설정!$C$19="판매가 마진",$H9/(1-$J9),$H9*(1+$J9)),0),CEILING(IF(설정!$C$19="판매가 마진",$H9/(1-$J9),$H9*(1+$J9)),설정!$C$20)),0))</f>
        <v/>
      </c>
      <c r="L9" s="45" t="str">
        <f t="shared" si="0"/>
        <v/>
      </c>
      <c r="M9" s="47" t="str">
        <f t="shared" si="1"/>
        <v/>
      </c>
      <c r="N9" s="45" t="str">
        <f t="shared" si="2"/>
        <v/>
      </c>
      <c r="O9" s="54" t="str">
        <f t="shared" si="3"/>
        <v/>
      </c>
    </row>
    <row r="10" spans="2:15">
      <c r="B10" s="53"/>
      <c r="C10" s="100"/>
      <c r="D10" s="48"/>
      <c r="E10" s="49"/>
      <c r="F10" s="50"/>
      <c r="G10" s="44" t="str">
        <f>IF(N($E10)=0,"",$E10*IF($D10="USD",설정!$C$11,IF($D10="CNY",설정!$C$12,1)))</f>
        <v/>
      </c>
      <c r="H10" s="45" t="str">
        <f>IF($G10="","",$G10*(1+설정!$C$17))</f>
        <v/>
      </c>
      <c r="I10" s="51"/>
      <c r="J10" s="47" t="str">
        <f>IF($G10="","",IF($I10="",설정!$C$18,$I10))</f>
        <v/>
      </c>
      <c r="K10" s="102" t="str">
        <f>IF($H10="","",IFERROR(IF(설정!$C$20&lt;=1,ROUND(IF(설정!$C$19="판매가 마진",$H10/(1-$J10),$H10*(1+$J10)),0),CEILING(IF(설정!$C$19="판매가 마진",$H10/(1-$J10),$H10*(1+$J10)),설정!$C$20)),0))</f>
        <v/>
      </c>
      <c r="L10" s="45" t="str">
        <f t="shared" si="0"/>
        <v/>
      </c>
      <c r="M10" s="47" t="str">
        <f t="shared" si="1"/>
        <v/>
      </c>
      <c r="N10" s="45" t="str">
        <f t="shared" si="2"/>
        <v/>
      </c>
      <c r="O10" s="54" t="str">
        <f t="shared" si="3"/>
        <v/>
      </c>
    </row>
    <row r="11" spans="2:15">
      <c r="B11" s="53"/>
      <c r="C11" s="100"/>
      <c r="D11" s="48"/>
      <c r="E11" s="49"/>
      <c r="F11" s="50"/>
      <c r="G11" s="44" t="str">
        <f>IF(N($E11)=0,"",$E11*IF($D11="USD",설정!$C$11,IF($D11="CNY",설정!$C$12,1)))</f>
        <v/>
      </c>
      <c r="H11" s="45" t="str">
        <f>IF($G11="","",$G11*(1+설정!$C$17))</f>
        <v/>
      </c>
      <c r="I11" s="51"/>
      <c r="J11" s="47" t="str">
        <f>IF($G11="","",IF($I11="",설정!$C$18,$I11))</f>
        <v/>
      </c>
      <c r="K11" s="102" t="str">
        <f>IF($H11="","",IFERROR(IF(설정!$C$20&lt;=1,ROUND(IF(설정!$C$19="판매가 마진",$H11/(1-$J11),$H11*(1+$J11)),0),CEILING(IF(설정!$C$19="판매가 마진",$H11/(1-$J11),$H11*(1+$J11)),설정!$C$20)),0))</f>
        <v/>
      </c>
      <c r="L11" s="45" t="str">
        <f t="shared" si="0"/>
        <v/>
      </c>
      <c r="M11" s="47" t="str">
        <f t="shared" si="1"/>
        <v/>
      </c>
      <c r="N11" s="45" t="str">
        <f t="shared" si="2"/>
        <v/>
      </c>
      <c r="O11" s="54" t="str">
        <f t="shared" si="3"/>
        <v/>
      </c>
    </row>
    <row r="12" spans="2:15">
      <c r="B12" s="53"/>
      <c r="C12" s="100"/>
      <c r="D12" s="48"/>
      <c r="E12" s="49"/>
      <c r="F12" s="50"/>
      <c r="G12" s="44" t="str">
        <f>IF(N($E12)=0,"",$E12*IF($D12="USD",설정!$C$11,IF($D12="CNY",설정!$C$12,1)))</f>
        <v/>
      </c>
      <c r="H12" s="45" t="str">
        <f>IF($G12="","",$G12*(1+설정!$C$17))</f>
        <v/>
      </c>
      <c r="I12" s="51"/>
      <c r="J12" s="47" t="str">
        <f>IF($G12="","",IF($I12="",설정!$C$18,$I12))</f>
        <v/>
      </c>
      <c r="K12" s="102" t="str">
        <f>IF($H12="","",IFERROR(IF(설정!$C$20&lt;=1,ROUND(IF(설정!$C$19="판매가 마진",$H12/(1-$J12),$H12*(1+$J12)),0),CEILING(IF(설정!$C$19="판매가 마진",$H12/(1-$J12),$H12*(1+$J12)),설정!$C$20)),0))</f>
        <v/>
      </c>
      <c r="L12" s="45" t="str">
        <f t="shared" si="0"/>
        <v/>
      </c>
      <c r="M12" s="47" t="str">
        <f t="shared" si="1"/>
        <v/>
      </c>
      <c r="N12" s="45" t="str">
        <f t="shared" si="2"/>
        <v/>
      </c>
      <c r="O12" s="54" t="str">
        <f t="shared" si="3"/>
        <v/>
      </c>
    </row>
    <row r="13" spans="2:15">
      <c r="B13" s="53"/>
      <c r="C13" s="100"/>
      <c r="D13" s="48"/>
      <c r="E13" s="49"/>
      <c r="F13" s="50"/>
      <c r="G13" s="44" t="str">
        <f>IF(N($E13)=0,"",$E13*IF($D13="USD",설정!$C$11,IF($D13="CNY",설정!$C$12,1)))</f>
        <v/>
      </c>
      <c r="H13" s="45" t="str">
        <f>IF($G13="","",$G13*(1+설정!$C$17))</f>
        <v/>
      </c>
      <c r="I13" s="51"/>
      <c r="J13" s="47" t="str">
        <f>IF($G13="","",IF($I13="",설정!$C$18,$I13))</f>
        <v/>
      </c>
      <c r="K13" s="102" t="str">
        <f>IF($H13="","",IFERROR(IF(설정!$C$20&lt;=1,ROUND(IF(설정!$C$19="판매가 마진",$H13/(1-$J13),$H13*(1+$J13)),0),CEILING(IF(설정!$C$19="판매가 마진",$H13/(1-$J13),$H13*(1+$J13)),설정!$C$20)),0))</f>
        <v/>
      </c>
      <c r="L13" s="45" t="str">
        <f t="shared" si="0"/>
        <v/>
      </c>
      <c r="M13" s="47" t="str">
        <f t="shared" si="1"/>
        <v/>
      </c>
      <c r="N13" s="45" t="str">
        <f t="shared" si="2"/>
        <v/>
      </c>
      <c r="O13" s="54" t="str">
        <f t="shared" si="3"/>
        <v/>
      </c>
    </row>
    <row r="14" spans="2:15">
      <c r="B14" s="53"/>
      <c r="C14" s="100"/>
      <c r="D14" s="48"/>
      <c r="E14" s="49"/>
      <c r="F14" s="50"/>
      <c r="G14" s="44" t="str">
        <f>IF(N($E14)=0,"",$E14*IF($D14="USD",설정!$C$11,IF($D14="CNY",설정!$C$12,1)))</f>
        <v/>
      </c>
      <c r="H14" s="45" t="str">
        <f>IF($G14="","",$G14*(1+설정!$C$17))</f>
        <v/>
      </c>
      <c r="I14" s="51"/>
      <c r="J14" s="47" t="str">
        <f>IF($G14="","",IF($I14="",설정!$C$18,$I14))</f>
        <v/>
      </c>
      <c r="K14" s="102" t="str">
        <f>IF($H14="","",IFERROR(IF(설정!$C$20&lt;=1,ROUND(IF(설정!$C$19="판매가 마진",$H14/(1-$J14),$H14*(1+$J14)),0),CEILING(IF(설정!$C$19="판매가 마진",$H14/(1-$J14),$H14*(1+$J14)),설정!$C$20)),0))</f>
        <v/>
      </c>
      <c r="L14" s="45" t="str">
        <f t="shared" si="0"/>
        <v/>
      </c>
      <c r="M14" s="47" t="str">
        <f t="shared" si="1"/>
        <v/>
      </c>
      <c r="N14" s="45" t="str">
        <f t="shared" si="2"/>
        <v/>
      </c>
      <c r="O14" s="54" t="str">
        <f t="shared" si="3"/>
        <v/>
      </c>
    </row>
    <row r="15" spans="2:15">
      <c r="B15" s="53"/>
      <c r="C15" s="100"/>
      <c r="D15" s="48"/>
      <c r="E15" s="49"/>
      <c r="F15" s="50"/>
      <c r="G15" s="44" t="str">
        <f>IF(N($E15)=0,"",$E15*IF($D15="USD",설정!$C$11,IF($D15="CNY",설정!$C$12,1)))</f>
        <v/>
      </c>
      <c r="H15" s="45" t="str">
        <f>IF($G15="","",$G15*(1+설정!$C$17))</f>
        <v/>
      </c>
      <c r="I15" s="51"/>
      <c r="J15" s="47" t="str">
        <f>IF($G15="","",IF($I15="",설정!$C$18,$I15))</f>
        <v/>
      </c>
      <c r="K15" s="102" t="str">
        <f>IF($H15="","",IFERROR(IF(설정!$C$20&lt;=1,ROUND(IF(설정!$C$19="판매가 마진",$H15/(1-$J15),$H15*(1+$J15)),0),CEILING(IF(설정!$C$19="판매가 마진",$H15/(1-$J15),$H15*(1+$J15)),설정!$C$20)),0))</f>
        <v/>
      </c>
      <c r="L15" s="45" t="str">
        <f t="shared" si="0"/>
        <v/>
      </c>
      <c r="M15" s="47" t="str">
        <f t="shared" si="1"/>
        <v/>
      </c>
      <c r="N15" s="45" t="str">
        <f t="shared" si="2"/>
        <v/>
      </c>
      <c r="O15" s="54" t="str">
        <f t="shared" si="3"/>
        <v/>
      </c>
    </row>
    <row r="16" spans="2:15">
      <c r="B16" s="53"/>
      <c r="C16" s="100"/>
      <c r="D16" s="48"/>
      <c r="E16" s="49"/>
      <c r="F16" s="50"/>
      <c r="G16" s="44" t="str">
        <f>IF(N($E16)=0,"",$E16*IF($D16="USD",설정!$C$11,IF($D16="CNY",설정!$C$12,1)))</f>
        <v/>
      </c>
      <c r="H16" s="45" t="str">
        <f>IF($G16="","",$G16*(1+설정!$C$17))</f>
        <v/>
      </c>
      <c r="I16" s="51"/>
      <c r="J16" s="47" t="str">
        <f>IF($G16="","",IF($I16="",설정!$C$18,$I16))</f>
        <v/>
      </c>
      <c r="K16" s="102" t="str">
        <f>IF($H16="","",IFERROR(IF(설정!$C$20&lt;=1,ROUND(IF(설정!$C$19="판매가 마진",$H16/(1-$J16),$H16*(1+$J16)),0),CEILING(IF(설정!$C$19="판매가 마진",$H16/(1-$J16),$H16*(1+$J16)),설정!$C$20)),0))</f>
        <v/>
      </c>
      <c r="L16" s="45" t="str">
        <f t="shared" si="0"/>
        <v/>
      </c>
      <c r="M16" s="47" t="str">
        <f t="shared" si="1"/>
        <v/>
      </c>
      <c r="N16" s="45" t="str">
        <f t="shared" si="2"/>
        <v/>
      </c>
      <c r="O16" s="54" t="str">
        <f t="shared" si="3"/>
        <v/>
      </c>
    </row>
    <row r="17" spans="2:15">
      <c r="B17" s="53"/>
      <c r="C17" s="100"/>
      <c r="D17" s="48"/>
      <c r="E17" s="49"/>
      <c r="F17" s="50"/>
      <c r="G17" s="44" t="str">
        <f>IF(N($E17)=0,"",$E17*IF($D17="USD",설정!$C$11,IF($D17="CNY",설정!$C$12,1)))</f>
        <v/>
      </c>
      <c r="H17" s="45" t="str">
        <f>IF($G17="","",$G17*(1+설정!$C$17))</f>
        <v/>
      </c>
      <c r="I17" s="51"/>
      <c r="J17" s="47" t="str">
        <f>IF($G17="","",IF($I17="",설정!$C$18,$I17))</f>
        <v/>
      </c>
      <c r="K17" s="102" t="str">
        <f>IF($H17="","",IFERROR(IF(설정!$C$20&lt;=1,ROUND(IF(설정!$C$19="판매가 마진",$H17/(1-$J17),$H17*(1+$J17)),0),CEILING(IF(설정!$C$19="판매가 마진",$H17/(1-$J17),$H17*(1+$J17)),설정!$C$20)),0))</f>
        <v/>
      </c>
      <c r="L17" s="45" t="str">
        <f t="shared" si="0"/>
        <v/>
      </c>
      <c r="M17" s="47" t="str">
        <f t="shared" si="1"/>
        <v/>
      </c>
      <c r="N17" s="45" t="str">
        <f t="shared" si="2"/>
        <v/>
      </c>
      <c r="O17" s="54" t="str">
        <f t="shared" si="3"/>
        <v/>
      </c>
    </row>
    <row r="18" spans="2:15">
      <c r="B18" s="53"/>
      <c r="C18" s="100"/>
      <c r="D18" s="48"/>
      <c r="E18" s="49"/>
      <c r="F18" s="50"/>
      <c r="G18" s="44" t="str">
        <f>IF(N($E18)=0,"",$E18*IF($D18="USD",설정!$C$11,IF($D18="CNY",설정!$C$12,1)))</f>
        <v/>
      </c>
      <c r="H18" s="45" t="str">
        <f>IF($G18="","",$G18*(1+설정!$C$17))</f>
        <v/>
      </c>
      <c r="I18" s="51"/>
      <c r="J18" s="47" t="str">
        <f>IF($G18="","",IF($I18="",설정!$C$18,$I18))</f>
        <v/>
      </c>
      <c r="K18" s="102" t="str">
        <f>IF($H18="","",IFERROR(IF(설정!$C$20&lt;=1,ROUND(IF(설정!$C$19="판매가 마진",$H18/(1-$J18),$H18*(1+$J18)),0),CEILING(IF(설정!$C$19="판매가 마진",$H18/(1-$J18),$H18*(1+$J18)),설정!$C$20)),0))</f>
        <v/>
      </c>
      <c r="L18" s="45" t="str">
        <f t="shared" si="0"/>
        <v/>
      </c>
      <c r="M18" s="47" t="str">
        <f t="shared" si="1"/>
        <v/>
      </c>
      <c r="N18" s="45" t="str">
        <f t="shared" si="2"/>
        <v/>
      </c>
      <c r="O18" s="54" t="str">
        <f t="shared" si="3"/>
        <v/>
      </c>
    </row>
    <row r="19" spans="2:15">
      <c r="B19" s="53"/>
      <c r="C19" s="100"/>
      <c r="D19" s="48"/>
      <c r="E19" s="49"/>
      <c r="F19" s="50"/>
      <c r="G19" s="44" t="str">
        <f>IF(N($E19)=0,"",$E19*IF($D19="USD",설정!$C$11,IF($D19="CNY",설정!$C$12,1)))</f>
        <v/>
      </c>
      <c r="H19" s="45" t="str">
        <f>IF($G19="","",$G19*(1+설정!$C$17))</f>
        <v/>
      </c>
      <c r="I19" s="51"/>
      <c r="J19" s="47" t="str">
        <f>IF($G19="","",IF($I19="",설정!$C$18,$I19))</f>
        <v/>
      </c>
      <c r="K19" s="102" t="str">
        <f>IF($H19="","",IFERROR(IF(설정!$C$20&lt;=1,ROUND(IF(설정!$C$19="판매가 마진",$H19/(1-$J19),$H19*(1+$J19)),0),CEILING(IF(설정!$C$19="판매가 마진",$H19/(1-$J19),$H19*(1+$J19)),설정!$C$20)),0))</f>
        <v/>
      </c>
      <c r="L19" s="45" t="str">
        <f t="shared" si="0"/>
        <v/>
      </c>
      <c r="M19" s="47" t="str">
        <f t="shared" si="1"/>
        <v/>
      </c>
      <c r="N19" s="45" t="str">
        <f t="shared" si="2"/>
        <v/>
      </c>
      <c r="O19" s="54" t="str">
        <f t="shared" si="3"/>
        <v/>
      </c>
    </row>
    <row r="20" spans="2:15">
      <c r="B20" s="53"/>
      <c r="C20" s="100"/>
      <c r="D20" s="48"/>
      <c r="E20" s="49"/>
      <c r="F20" s="50"/>
      <c r="G20" s="44" t="str">
        <f>IF(N($E20)=0,"",$E20*IF($D20="USD",설정!$C$11,IF($D20="CNY",설정!$C$12,1)))</f>
        <v/>
      </c>
      <c r="H20" s="45" t="str">
        <f>IF($G20="","",$G20*(1+설정!$C$17))</f>
        <v/>
      </c>
      <c r="I20" s="51"/>
      <c r="J20" s="47" t="str">
        <f>IF($G20="","",IF($I20="",설정!$C$18,$I20))</f>
        <v/>
      </c>
      <c r="K20" s="102" t="str">
        <f>IF($H20="","",IFERROR(IF(설정!$C$20&lt;=1,ROUND(IF(설정!$C$19="판매가 마진",$H20/(1-$J20),$H20*(1+$J20)),0),CEILING(IF(설정!$C$19="판매가 마진",$H20/(1-$J20),$H20*(1+$J20)),설정!$C$20)),0))</f>
        <v/>
      </c>
      <c r="L20" s="45" t="str">
        <f t="shared" si="0"/>
        <v/>
      </c>
      <c r="M20" s="47" t="str">
        <f t="shared" si="1"/>
        <v/>
      </c>
      <c r="N20" s="45" t="str">
        <f t="shared" si="2"/>
        <v/>
      </c>
      <c r="O20" s="54" t="str">
        <f t="shared" si="3"/>
        <v/>
      </c>
    </row>
    <row r="21" spans="2:15">
      <c r="B21" s="53"/>
      <c r="C21" s="100"/>
      <c r="D21" s="48"/>
      <c r="E21" s="49"/>
      <c r="F21" s="50"/>
      <c r="G21" s="44" t="str">
        <f>IF(N($E21)=0,"",$E21*IF($D21="USD",설정!$C$11,IF($D21="CNY",설정!$C$12,1)))</f>
        <v/>
      </c>
      <c r="H21" s="45" t="str">
        <f>IF($G21="","",$G21*(1+설정!$C$17))</f>
        <v/>
      </c>
      <c r="I21" s="51"/>
      <c r="J21" s="47" t="str">
        <f>IF($G21="","",IF($I21="",설정!$C$18,$I21))</f>
        <v/>
      </c>
      <c r="K21" s="102" t="str">
        <f>IF($H21="","",IFERROR(IF(설정!$C$20&lt;=1,ROUND(IF(설정!$C$19="판매가 마진",$H21/(1-$J21),$H21*(1+$J21)),0),CEILING(IF(설정!$C$19="판매가 마진",$H21/(1-$J21),$H21*(1+$J21)),설정!$C$20)),0))</f>
        <v/>
      </c>
      <c r="L21" s="45" t="str">
        <f t="shared" si="0"/>
        <v/>
      </c>
      <c r="M21" s="47" t="str">
        <f t="shared" si="1"/>
        <v/>
      </c>
      <c r="N21" s="45" t="str">
        <f t="shared" si="2"/>
        <v/>
      </c>
      <c r="O21" s="54" t="str">
        <f t="shared" si="3"/>
        <v/>
      </c>
    </row>
    <row r="22" spans="2:15">
      <c r="B22" s="53"/>
      <c r="C22" s="100"/>
      <c r="D22" s="48"/>
      <c r="E22" s="49"/>
      <c r="F22" s="50"/>
      <c r="G22" s="44" t="str">
        <f>IF(N($E22)=0,"",$E22*IF($D22="USD",설정!$C$11,IF($D22="CNY",설정!$C$12,1)))</f>
        <v/>
      </c>
      <c r="H22" s="45" t="str">
        <f>IF($G22="","",$G22*(1+설정!$C$17))</f>
        <v/>
      </c>
      <c r="I22" s="51"/>
      <c r="J22" s="47" t="str">
        <f>IF($G22="","",IF($I22="",설정!$C$18,$I22))</f>
        <v/>
      </c>
      <c r="K22" s="102" t="str">
        <f>IF($H22="","",IFERROR(IF(설정!$C$20&lt;=1,ROUND(IF(설정!$C$19="판매가 마진",$H22/(1-$J22),$H22*(1+$J22)),0),CEILING(IF(설정!$C$19="판매가 마진",$H22/(1-$J22),$H22*(1+$J22)),설정!$C$20)),0))</f>
        <v/>
      </c>
      <c r="L22" s="45" t="str">
        <f t="shared" si="0"/>
        <v/>
      </c>
      <c r="M22" s="47" t="str">
        <f t="shared" si="1"/>
        <v/>
      </c>
      <c r="N22" s="45" t="str">
        <f t="shared" si="2"/>
        <v/>
      </c>
      <c r="O22" s="54" t="str">
        <f t="shared" si="3"/>
        <v/>
      </c>
    </row>
    <row r="23" spans="2:15">
      <c r="B23" s="53"/>
      <c r="C23" s="100"/>
      <c r="D23" s="48"/>
      <c r="E23" s="49"/>
      <c r="F23" s="50"/>
      <c r="G23" s="44" t="str">
        <f>IF(N($E23)=0,"",$E23*IF($D23="USD",설정!$C$11,IF($D23="CNY",설정!$C$12,1)))</f>
        <v/>
      </c>
      <c r="H23" s="45" t="str">
        <f>IF($G23="","",$G23*(1+설정!$C$17))</f>
        <v/>
      </c>
      <c r="I23" s="51"/>
      <c r="J23" s="47" t="str">
        <f>IF($G23="","",IF($I23="",설정!$C$18,$I23))</f>
        <v/>
      </c>
      <c r="K23" s="102" t="str">
        <f>IF($H23="","",IFERROR(IF(설정!$C$20&lt;=1,ROUND(IF(설정!$C$19="판매가 마진",$H23/(1-$J23),$H23*(1+$J23)),0),CEILING(IF(설정!$C$19="판매가 마진",$H23/(1-$J23),$H23*(1+$J23)),설정!$C$20)),0))</f>
        <v/>
      </c>
      <c r="L23" s="45" t="str">
        <f t="shared" si="0"/>
        <v/>
      </c>
      <c r="M23" s="47" t="str">
        <f t="shared" si="1"/>
        <v/>
      </c>
      <c r="N23" s="45" t="str">
        <f t="shared" si="2"/>
        <v/>
      </c>
      <c r="O23" s="54" t="str">
        <f t="shared" si="3"/>
        <v/>
      </c>
    </row>
    <row r="24" spans="2:15">
      <c r="B24" s="53"/>
      <c r="C24" s="100"/>
      <c r="D24" s="48"/>
      <c r="E24" s="49"/>
      <c r="F24" s="50"/>
      <c r="G24" s="44" t="str">
        <f>IF(N($E24)=0,"",$E24*IF($D24="USD",설정!$C$11,IF($D24="CNY",설정!$C$12,1)))</f>
        <v/>
      </c>
      <c r="H24" s="45" t="str">
        <f>IF($G24="","",$G24*(1+설정!$C$17))</f>
        <v/>
      </c>
      <c r="I24" s="51"/>
      <c r="J24" s="47" t="str">
        <f>IF($G24="","",IF($I24="",설정!$C$18,$I24))</f>
        <v/>
      </c>
      <c r="K24" s="102" t="str">
        <f>IF($H24="","",IFERROR(IF(설정!$C$20&lt;=1,ROUND(IF(설정!$C$19="판매가 마진",$H24/(1-$J24),$H24*(1+$J24)),0),CEILING(IF(설정!$C$19="판매가 마진",$H24/(1-$J24),$H24*(1+$J24)),설정!$C$20)),0))</f>
        <v/>
      </c>
      <c r="L24" s="45" t="str">
        <f t="shared" si="0"/>
        <v/>
      </c>
      <c r="M24" s="47" t="str">
        <f t="shared" si="1"/>
        <v/>
      </c>
      <c r="N24" s="45" t="str">
        <f t="shared" si="2"/>
        <v/>
      </c>
      <c r="O24" s="54" t="str">
        <f t="shared" si="3"/>
        <v/>
      </c>
    </row>
    <row r="25" spans="2:15" ht="18" customHeight="1" thickBot="1">
      <c r="B25" s="55" t="s">
        <v>22</v>
      </c>
      <c r="C25" s="76"/>
      <c r="D25" s="56"/>
      <c r="E25" s="56"/>
      <c r="F25" s="57">
        <f>SUM(F6:F24)</f>
        <v>614</v>
      </c>
      <c r="G25" s="56"/>
      <c r="H25" s="56"/>
      <c r="I25" s="56"/>
      <c r="J25" s="56"/>
      <c r="K25" s="56"/>
      <c r="L25" s="59">
        <f ca="1">SUM(L6:L24)</f>
        <v>11864.645999999999</v>
      </c>
      <c r="M25" s="58">
        <f ca="1">IFERROR(SUM(L6:L24)/SUM(N6:N24),0)</f>
        <v>9.798690165504938E-4</v>
      </c>
      <c r="N25" s="59">
        <f ca="1">SUM(N6:N24)</f>
        <v>12108400</v>
      </c>
      <c r="O25" s="60">
        <f ca="1">SUM(O6:O24)</f>
        <v>8462016.4860000014</v>
      </c>
    </row>
    <row r="27" spans="2:15">
      <c r="B27" s="4" t="s">
        <v>41</v>
      </c>
      <c r="C27" s="4"/>
    </row>
    <row r="28" spans="2:15">
      <c r="B28" s="4" t="s">
        <v>42</v>
      </c>
      <c r="C28" s="4"/>
    </row>
    <row r="29" spans="2:15">
      <c r="B29" s="3" t="s">
        <v>43</v>
      </c>
      <c r="C29" s="3"/>
    </row>
    <row r="30" spans="2:15">
      <c r="B30" s="4" t="s">
        <v>44</v>
      </c>
      <c r="C30" s="4"/>
    </row>
  </sheetData>
  <phoneticPr fontId="11" type="noConversion"/>
  <dataValidations count="1">
    <dataValidation type="list" allowBlank="1" sqref="D6:D24" xr:uid="{00000000-0002-0000-0000-000000000000}">
      <formula1>"USD,CNY,KRW"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B1:V33"/>
  <sheetViews>
    <sheetView showGridLines="0" tabSelected="1" zoomScale="85" zoomScaleNormal="85" workbookViewId="0">
      <selection activeCell="I30" sqref="I30"/>
    </sheetView>
  </sheetViews>
  <sheetFormatPr defaultRowHeight="17.399999999999999"/>
  <cols>
    <col min="1" max="1" width="3.69921875" customWidth="1"/>
    <col min="2" max="2" width="26" customWidth="1"/>
    <col min="3" max="3" width="12.69921875" customWidth="1"/>
    <col min="4" max="5" width="8" customWidth="1"/>
    <col min="6" max="6" width="11" customWidth="1"/>
    <col min="7" max="7" width="13" customWidth="1"/>
    <col min="8" max="8" width="8" customWidth="1"/>
    <col min="9" max="9" width="13" customWidth="1"/>
    <col min="10" max="11" width="9" customWidth="1"/>
    <col min="12" max="14" width="13" customWidth="1"/>
    <col min="15" max="15" width="10.09765625" customWidth="1"/>
    <col min="16" max="16" width="12" customWidth="1"/>
    <col min="17" max="17" width="13" customWidth="1"/>
    <col min="18" max="20" width="10" customWidth="1"/>
    <col min="21" max="22" width="15" customWidth="1"/>
  </cols>
  <sheetData>
    <row r="1" spans="2:22" ht="15" customHeight="1"/>
    <row r="2" spans="2:22" ht="21" customHeight="1">
      <c r="B2" s="1" t="s">
        <v>0</v>
      </c>
      <c r="C2" s="1"/>
    </row>
    <row r="3" spans="2:22">
      <c r="B3" s="5" t="str">
        <f>"매입원가 → 판관비 "&amp;TEXT(설정!$C$24,"0.0%")&amp;" → BEP 가격 → 영업이익 "&amp;TEXT(설정!$C$25,"0.0%")&amp;" → 기준 유통가 → (영업) 최종 유통가   ·   "&amp;설정!$C$26&amp;" 방식"</f>
        <v>매입원가 → 판관비 8.7% → BEP 가격 → 영업이익 10.0% → 기준 유통가 → (영업) 최종 유통가   ·   매출 대비 방식</v>
      </c>
      <c r="C3" s="5"/>
    </row>
    <row r="4" spans="2:22" ht="18" customHeight="1" thickBot="1"/>
    <row r="5" spans="2:22" ht="34.950000000000003" customHeight="1" thickBot="1">
      <c r="B5" s="71" t="s">
        <v>1</v>
      </c>
      <c r="C5" s="81" t="s">
        <v>2</v>
      </c>
      <c r="D5" s="72" t="s">
        <v>3</v>
      </c>
      <c r="E5" s="72" t="s">
        <v>4</v>
      </c>
      <c r="F5" s="72" t="s">
        <v>5</v>
      </c>
      <c r="G5" s="72" t="s">
        <v>6</v>
      </c>
      <c r="H5" s="72" t="s">
        <v>7</v>
      </c>
      <c r="I5" s="72" t="s">
        <v>8</v>
      </c>
      <c r="J5" s="72" t="s">
        <v>9</v>
      </c>
      <c r="K5" s="72" t="s">
        <v>10</v>
      </c>
      <c r="L5" s="72" t="s">
        <v>11</v>
      </c>
      <c r="M5" s="72" t="s">
        <v>12</v>
      </c>
      <c r="N5" s="72" t="s">
        <v>13</v>
      </c>
      <c r="O5" s="72" t="s">
        <v>14</v>
      </c>
      <c r="P5" s="72" t="s">
        <v>15</v>
      </c>
      <c r="Q5" s="72" t="s">
        <v>16</v>
      </c>
      <c r="R5" s="72" t="s">
        <v>17</v>
      </c>
      <c r="S5" s="72" t="s">
        <v>18</v>
      </c>
      <c r="T5" s="72" t="s">
        <v>19</v>
      </c>
      <c r="U5" s="72" t="s">
        <v>20</v>
      </c>
      <c r="V5" s="73" t="s">
        <v>21</v>
      </c>
    </row>
    <row r="6" spans="2:22" ht="18" customHeight="1" thickTop="1">
      <c r="B6" s="61" t="s">
        <v>182</v>
      </c>
      <c r="C6" s="77"/>
      <c r="D6" s="62" t="s">
        <v>185</v>
      </c>
      <c r="E6" s="62" t="s">
        <v>184</v>
      </c>
      <c r="F6" s="63"/>
      <c r="G6" s="64">
        <v>29500</v>
      </c>
      <c r="H6" s="65">
        <v>300</v>
      </c>
      <c r="I6" s="66">
        <f>IF($D6="","",IF($D6="수입",IF(N($F6)=0,"",$F6*IF($E6="USD",설정!$C$11,IF($E6="CNY",설정!$C$12,1))*(1+설정!$C$17)),IF(N($G6)=0,"",$G6*(1+설정!$C$23))))</f>
        <v>29500</v>
      </c>
      <c r="J6" s="67"/>
      <c r="K6" s="67"/>
      <c r="L6" s="68">
        <f>IF($I6="","",IFERROR(IF(설정!$C$26="원가 가산",$I6*(1+IF($J6="",설정!$C$24,$J6)),$I6/(1-IF($J6="",설정!$C$24,$J6))),0))</f>
        <v>32311.062431544357</v>
      </c>
      <c r="M6" s="103">
        <f>IF($I6="","",IFERROR(IF(설정!$C$27&lt;=1,ROUND(IF(설정!$C$26="원가 가산",$L6*(1+IF($K6="",설정!$C$25,$K6)),$I6/(1-IF($J6="",설정!$C$24,$J6)-IF($K6="",설정!$C$25,$K6))),0),CEILING(IF(설정!$C$26="원가 가산",$L6*(1+IF($K6="",설정!$C$25,$K6)),$I6/(1-IF($J6="",설정!$C$24,$J6)-IF($K6="",설정!$C$25,$K6))),설정!$C$27)),0))</f>
        <v>36300</v>
      </c>
      <c r="N6" s="64"/>
      <c r="O6" s="68">
        <f t="shared" ref="O6:O25" si="0">IF($M6="","",IF($N6="",$M6,$N6))</f>
        <v>36300</v>
      </c>
      <c r="P6" s="68">
        <f>IF($O6="","",IF(설정!$C$26="원가 가산",$I6*IF($J6="",설정!$C$24,$J6),$O6*IF($J6="",설정!$C$24,$J6)))</f>
        <v>3158.1</v>
      </c>
      <c r="Q6" s="68">
        <f t="shared" ref="Q6:Q25" si="1">IF($O6="","",$O6-$I6-$P6)</f>
        <v>3641.9</v>
      </c>
      <c r="R6" s="69">
        <f t="shared" ref="R6:R25" si="2">IF(N($O6)=0,"",$Q6/$O6)</f>
        <v>0.10032782369146005</v>
      </c>
      <c r="S6" s="69">
        <f t="shared" ref="S6:S25" si="3">IF(N($M6)=0,"",$O6/$M6-1)</f>
        <v>0</v>
      </c>
      <c r="T6" s="69">
        <f t="shared" ref="T6:T25" si="4">IF(N($L6)=0,"",$O6/$L6-1)</f>
        <v>0.12345423728813576</v>
      </c>
      <c r="U6" s="68">
        <f t="shared" ref="U6:U25" si="5">IF($O6="","",$O6*$H6)</f>
        <v>10890000</v>
      </c>
      <c r="V6" s="70">
        <f t="shared" ref="V6:V25" si="6">IF($Q6="","",$Q6*$H6)</f>
        <v>1092570</v>
      </c>
    </row>
    <row r="7" spans="2:22">
      <c r="B7" s="61" t="s">
        <v>183</v>
      </c>
      <c r="C7" s="75"/>
      <c r="D7" s="48" t="s">
        <v>185</v>
      </c>
      <c r="E7" s="48" t="s">
        <v>184</v>
      </c>
      <c r="F7" s="49"/>
      <c r="G7" s="52"/>
      <c r="H7" s="50">
        <v>300</v>
      </c>
      <c r="I7" s="44" t="str">
        <f>IF($D7="","",IF($D7="수입",IF(N($F7)=0,"",$F7*IF($E7="USD",설정!$C$11,IF($E7="CNY",설정!$C$12,1))*(1+설정!$C$17)),IF(N($G7)=0,"",$G7*(1+설정!$C$23))))</f>
        <v/>
      </c>
      <c r="J7" s="46"/>
      <c r="K7" s="46"/>
      <c r="L7" s="45" t="str">
        <f>IF($I7="","",IFERROR(IF(설정!$C$26="원가 가산",$I7*(1+IF($J7="",설정!$C$24,$J7)),$I7/(1-IF($J7="",설정!$C$24,$J7))),0))</f>
        <v/>
      </c>
      <c r="M7" s="104" t="str">
        <f>IF($I7="","",IFERROR(IF(설정!$C$27&lt;=1,ROUND(IF(설정!$C$26="원가 가산",$L7*(1+IF($K7="",설정!$C$25,$K7)),$I7/(1-IF($J7="",설정!$C$24,$J7)-IF($K7="",설정!$C$25,$K7))),0),CEILING(IF(설정!$C$26="원가 가산",$L7*(1+IF($K7="",설정!$C$25,$K7)),$I7/(1-IF($J7="",설정!$C$24,$J7)-IF($K7="",설정!$C$25,$K7))),설정!$C$27)),0))</f>
        <v/>
      </c>
      <c r="N7" s="52"/>
      <c r="O7" s="45" t="str">
        <f t="shared" si="0"/>
        <v/>
      </c>
      <c r="P7" s="45" t="str">
        <f>IF($O7="","",IF(설정!$C$26="원가 가산",$I7*IF($J7="",설정!$C$24,$J7),$O7*IF($J7="",설정!$C$24,$J7)))</f>
        <v/>
      </c>
      <c r="Q7" s="45" t="str">
        <f t="shared" si="1"/>
        <v/>
      </c>
      <c r="R7" s="47" t="str">
        <f t="shared" si="2"/>
        <v/>
      </c>
      <c r="S7" s="47" t="str">
        <f t="shared" si="3"/>
        <v/>
      </c>
      <c r="T7" s="47" t="str">
        <f t="shared" si="4"/>
        <v/>
      </c>
      <c r="U7" s="45" t="str">
        <f t="shared" si="5"/>
        <v/>
      </c>
      <c r="V7" s="54" t="str">
        <f t="shared" si="6"/>
        <v/>
      </c>
    </row>
    <row r="8" spans="2:22">
      <c r="B8" s="53" t="s">
        <v>180</v>
      </c>
      <c r="C8" s="75"/>
      <c r="D8" s="48" t="s">
        <v>185</v>
      </c>
      <c r="E8" s="48" t="s">
        <v>184</v>
      </c>
      <c r="F8" s="49"/>
      <c r="G8" s="52"/>
      <c r="H8" s="50">
        <v>300</v>
      </c>
      <c r="I8" s="44" t="str">
        <f>IF($D8="","",IF($D8="수입",IF(N($F8)=0,"",$F8*IF($E8="USD",설정!$C$11,IF($E8="CNY",설정!$C$12,1))*(1+설정!$C$17)),IF(N($G8)=0,"",$G8*(1+설정!$C$23))))</f>
        <v/>
      </c>
      <c r="J8" s="46"/>
      <c r="K8" s="46"/>
      <c r="L8" s="45" t="str">
        <f>IF($I8="","",IFERROR(IF(설정!$C$26="원가 가산",$I8*(1+IF($J8="",설정!$C$24,$J8)),$I8/(1-IF($J8="",설정!$C$24,$J8))),0))</f>
        <v/>
      </c>
      <c r="M8" s="104" t="str">
        <f>IF($I8="","",IFERROR(IF(설정!$C$27&lt;=1,ROUND(IF(설정!$C$26="원가 가산",$L8*(1+IF($K8="",설정!$C$25,$K8)),$I8/(1-IF($J8="",설정!$C$24,$J8)-IF($K8="",설정!$C$25,$K8))),0),CEILING(IF(설정!$C$26="원가 가산",$L8*(1+IF($K8="",설정!$C$25,$K8)),$I8/(1-IF($J8="",설정!$C$24,$J8)-IF($K8="",설정!$C$25,$K8))),설정!$C$27)),0))</f>
        <v/>
      </c>
      <c r="N8" s="52"/>
      <c r="O8" s="45" t="str">
        <f t="shared" si="0"/>
        <v/>
      </c>
      <c r="P8" s="45" t="str">
        <f>IF($O8="","",IF(설정!$C$26="원가 가산",$I8*IF($J8="",설정!$C$24,$J8),$O8*IF($J8="",설정!$C$24,$J8)))</f>
        <v/>
      </c>
      <c r="Q8" s="45" t="str">
        <f t="shared" si="1"/>
        <v/>
      </c>
      <c r="R8" s="47" t="str">
        <f t="shared" si="2"/>
        <v/>
      </c>
      <c r="S8" s="47" t="str">
        <f t="shared" si="3"/>
        <v/>
      </c>
      <c r="T8" s="47" t="str">
        <f t="shared" si="4"/>
        <v/>
      </c>
      <c r="U8" s="45" t="str">
        <f t="shared" si="5"/>
        <v/>
      </c>
      <c r="V8" s="54" t="str">
        <f t="shared" si="6"/>
        <v/>
      </c>
    </row>
    <row r="9" spans="2:22">
      <c r="B9" s="53" t="s">
        <v>181</v>
      </c>
      <c r="C9" s="75"/>
      <c r="D9" s="48" t="s">
        <v>185</v>
      </c>
      <c r="E9" s="48" t="s">
        <v>184</v>
      </c>
      <c r="F9" s="49"/>
      <c r="G9" s="52"/>
      <c r="H9" s="50">
        <v>300</v>
      </c>
      <c r="I9" s="44" t="str">
        <f>IF($D9="","",IF($D9="수입",IF(N($F9)=0,"",$F9*IF($E9="USD",설정!$C$11,IF($E9="CNY",설정!$C$12,1))*(1+설정!$C$17)),IF(N($G9)=0,"",$G9*(1+설정!$C$23))))</f>
        <v/>
      </c>
      <c r="J9" s="46"/>
      <c r="K9" s="46"/>
      <c r="L9" s="45" t="str">
        <f>IF($I9="","",IFERROR(IF(설정!$C$26="원가 가산",$I9*(1+IF($J9="",설정!$C$24,$J9)),$I9/(1-IF($J9="",설정!$C$24,$J9))),0))</f>
        <v/>
      </c>
      <c r="M9" s="104" t="str">
        <f>IF($I9="","",IFERROR(IF(설정!$C$27&lt;=1,ROUND(IF(설정!$C$26="원가 가산",$L9*(1+IF($K9="",설정!$C$25,$K9)),$I9/(1-IF($J9="",설정!$C$24,$J9)-IF($K9="",설정!$C$25,$K9))),0),CEILING(IF(설정!$C$26="원가 가산",$L9*(1+IF($K9="",설정!$C$25,$K9)),$I9/(1-IF($J9="",설정!$C$24,$J9)-IF($K9="",설정!$C$25,$K9))),설정!$C$27)),0))</f>
        <v/>
      </c>
      <c r="N9" s="52"/>
      <c r="O9" s="45" t="str">
        <f t="shared" si="0"/>
        <v/>
      </c>
      <c r="P9" s="45" t="str">
        <f>IF($O9="","",IF(설정!$C$26="원가 가산",$I9*IF($J9="",설정!$C$24,$J9),$O9*IF($J9="",설정!$C$24,$J9)))</f>
        <v/>
      </c>
      <c r="Q9" s="45" t="str">
        <f t="shared" si="1"/>
        <v/>
      </c>
      <c r="R9" s="47" t="str">
        <f t="shared" si="2"/>
        <v/>
      </c>
      <c r="S9" s="47" t="str">
        <f t="shared" si="3"/>
        <v/>
      </c>
      <c r="T9" s="47" t="str">
        <f t="shared" si="4"/>
        <v/>
      </c>
      <c r="U9" s="45" t="str">
        <f t="shared" si="5"/>
        <v/>
      </c>
      <c r="V9" s="54" t="str">
        <f t="shared" si="6"/>
        <v/>
      </c>
    </row>
    <row r="10" spans="2:22">
      <c r="B10" s="53" t="s">
        <v>186</v>
      </c>
      <c r="C10" s="75"/>
      <c r="D10" s="48" t="s">
        <v>185</v>
      </c>
      <c r="E10" s="48" t="s">
        <v>184</v>
      </c>
      <c r="F10" s="49"/>
      <c r="G10" s="52"/>
      <c r="H10" s="50">
        <v>300</v>
      </c>
      <c r="I10" s="44" t="str">
        <f>IF($D10="","",IF($D10="수입",IF(N($F10)=0,"",$F10*IF($E10="USD",설정!$C$11,IF($E10="CNY",설정!$C$12,1))*(1+설정!$C$17)),IF(N($G10)=0,"",$G10*(1+설정!$C$23))))</f>
        <v/>
      </c>
      <c r="J10" s="46"/>
      <c r="K10" s="46"/>
      <c r="L10" s="45" t="str">
        <f>IF($I10="","",IFERROR(IF(설정!$C$26="원가 가산",$I10*(1+IF($J10="",설정!$C$24,$J10)),$I10/(1-IF($J10="",설정!$C$24,$J10))),0))</f>
        <v/>
      </c>
      <c r="M10" s="104" t="str">
        <f>IF($I10="","",IFERROR(IF(설정!$C$27&lt;=1,ROUND(IF(설정!$C$26="원가 가산",$L10*(1+IF($K10="",설정!$C$25,$K10)),$I10/(1-IF($J10="",설정!$C$24,$J10)-IF($K10="",설정!$C$25,$K10))),0),CEILING(IF(설정!$C$26="원가 가산",$L10*(1+IF($K10="",설정!$C$25,$K10)),$I10/(1-IF($J10="",설정!$C$24,$J10)-IF($K10="",설정!$C$25,$K10))),설정!$C$27)),0))</f>
        <v/>
      </c>
      <c r="N10" s="52"/>
      <c r="O10" s="45" t="str">
        <f t="shared" si="0"/>
        <v/>
      </c>
      <c r="P10" s="45" t="str">
        <f>IF($O10="","",IF(설정!$C$26="원가 가산",$I10*IF($J10="",설정!$C$24,$J10),$O10*IF($J10="",설정!$C$24,$J10)))</f>
        <v/>
      </c>
      <c r="Q10" s="45" t="str">
        <f t="shared" si="1"/>
        <v/>
      </c>
      <c r="R10" s="47" t="str">
        <f t="shared" si="2"/>
        <v/>
      </c>
      <c r="S10" s="47" t="str">
        <f t="shared" si="3"/>
        <v/>
      </c>
      <c r="T10" s="47" t="str">
        <f t="shared" si="4"/>
        <v/>
      </c>
      <c r="U10" s="45" t="str">
        <f t="shared" si="5"/>
        <v/>
      </c>
      <c r="V10" s="54" t="str">
        <f t="shared" si="6"/>
        <v/>
      </c>
    </row>
    <row r="11" spans="2:22">
      <c r="B11" s="53" t="s">
        <v>187</v>
      </c>
      <c r="C11" s="75"/>
      <c r="D11" s="48" t="s">
        <v>185</v>
      </c>
      <c r="E11" s="48" t="s">
        <v>184</v>
      </c>
      <c r="F11" s="49"/>
      <c r="G11" s="52"/>
      <c r="H11" s="50">
        <v>300</v>
      </c>
      <c r="I11" s="44" t="str">
        <f>IF($D11="","",IF($D11="수입",IF(N($F11)=0,"",$F11*IF($E11="USD",설정!$C$11,IF($E11="CNY",설정!$C$12,1))*(1+설정!$C$17)),IF(N($G11)=0,"",$G11*(1+설정!$C$23))))</f>
        <v/>
      </c>
      <c r="J11" s="46"/>
      <c r="K11" s="46"/>
      <c r="L11" s="45" t="str">
        <f>IF($I11="","",IFERROR(IF(설정!$C$26="원가 가산",$I11*(1+IF($J11="",설정!$C$24,$J11)),$I11/(1-IF($J11="",설정!$C$24,$J11))),0))</f>
        <v/>
      </c>
      <c r="M11" s="104" t="str">
        <f>IF($I11="","",IFERROR(IF(설정!$C$27&lt;=1,ROUND(IF(설정!$C$26="원가 가산",$L11*(1+IF($K11="",설정!$C$25,$K11)),$I11/(1-IF($J11="",설정!$C$24,$J11)-IF($K11="",설정!$C$25,$K11))),0),CEILING(IF(설정!$C$26="원가 가산",$L11*(1+IF($K11="",설정!$C$25,$K11)),$I11/(1-IF($J11="",설정!$C$24,$J11)-IF($K11="",설정!$C$25,$K11))),설정!$C$27)),0))</f>
        <v/>
      </c>
      <c r="N11" s="52"/>
      <c r="O11" s="45" t="str">
        <f t="shared" si="0"/>
        <v/>
      </c>
      <c r="P11" s="45" t="str">
        <f>IF($O11="","",IF(설정!$C$26="원가 가산",$I11*IF($J11="",설정!$C$24,$J11),$O11*IF($J11="",설정!$C$24,$J11)))</f>
        <v/>
      </c>
      <c r="Q11" s="45" t="str">
        <f t="shared" si="1"/>
        <v/>
      </c>
      <c r="R11" s="47" t="str">
        <f t="shared" si="2"/>
        <v/>
      </c>
      <c r="S11" s="47" t="str">
        <f t="shared" si="3"/>
        <v/>
      </c>
      <c r="T11" s="47" t="str">
        <f t="shared" si="4"/>
        <v/>
      </c>
      <c r="U11" s="45" t="str">
        <f t="shared" si="5"/>
        <v/>
      </c>
      <c r="V11" s="54" t="str">
        <f t="shared" si="6"/>
        <v/>
      </c>
    </row>
    <row r="12" spans="2:22">
      <c r="B12" s="53" t="s">
        <v>188</v>
      </c>
      <c r="C12" s="75"/>
      <c r="D12" s="48" t="s">
        <v>185</v>
      </c>
      <c r="E12" s="48" t="s">
        <v>184</v>
      </c>
      <c r="F12" s="49"/>
      <c r="G12" s="52"/>
      <c r="H12" s="50">
        <v>300</v>
      </c>
      <c r="I12" s="44" t="str">
        <f>IF($D12="","",IF($D12="수입",IF(N($F12)=0,"",$F12*IF($E12="USD",설정!$C$11,IF($E12="CNY",설정!$C$12,1))*(1+설정!$C$17)),IF(N($G12)=0,"",$G12*(1+설정!$C$23))))</f>
        <v/>
      </c>
      <c r="J12" s="46"/>
      <c r="K12" s="46"/>
      <c r="L12" s="45" t="str">
        <f>IF($I12="","",IFERROR(IF(설정!$C$26="원가 가산",$I12*(1+IF($J12="",설정!$C$24,$J12)),$I12/(1-IF($J12="",설정!$C$24,$J12))),0))</f>
        <v/>
      </c>
      <c r="M12" s="104" t="str">
        <f>IF($I12="","",IFERROR(IF(설정!$C$27&lt;=1,ROUND(IF(설정!$C$26="원가 가산",$L12*(1+IF($K12="",설정!$C$25,$K12)),$I12/(1-IF($J12="",설정!$C$24,$J12)-IF($K12="",설정!$C$25,$K12))),0),CEILING(IF(설정!$C$26="원가 가산",$L12*(1+IF($K12="",설정!$C$25,$K12)),$I12/(1-IF($J12="",설정!$C$24,$J12)-IF($K12="",설정!$C$25,$K12))),설정!$C$27)),0))</f>
        <v/>
      </c>
      <c r="N12" s="52"/>
      <c r="O12" s="45" t="str">
        <f t="shared" si="0"/>
        <v/>
      </c>
      <c r="P12" s="45" t="str">
        <f>IF($O12="","",IF(설정!$C$26="원가 가산",$I12*IF($J12="",설정!$C$24,$J12),$O12*IF($J12="",설정!$C$24,$J12)))</f>
        <v/>
      </c>
      <c r="Q12" s="45" t="str">
        <f t="shared" si="1"/>
        <v/>
      </c>
      <c r="R12" s="47" t="str">
        <f t="shared" si="2"/>
        <v/>
      </c>
      <c r="S12" s="47" t="str">
        <f t="shared" si="3"/>
        <v/>
      </c>
      <c r="T12" s="47" t="str">
        <f t="shared" si="4"/>
        <v/>
      </c>
      <c r="U12" s="45" t="str">
        <f t="shared" si="5"/>
        <v/>
      </c>
      <c r="V12" s="54" t="str">
        <f t="shared" si="6"/>
        <v/>
      </c>
    </row>
    <row r="13" spans="2:22">
      <c r="B13" s="53" t="s">
        <v>189</v>
      </c>
      <c r="C13" s="75"/>
      <c r="D13" s="48" t="s">
        <v>171</v>
      </c>
      <c r="E13" s="48" t="s">
        <v>184</v>
      </c>
      <c r="F13" s="49"/>
      <c r="G13" s="52"/>
      <c r="H13" s="50">
        <v>300</v>
      </c>
      <c r="I13" s="44" t="str">
        <f>IF($D13="","",IF($D13="수입",IF(N($F13)=0,"",$F13*IF($E13="USD",설정!$C$11,IF($E13="CNY",설정!$C$12,1))*(1+설정!$C$17)),IF(N($G13)=0,"",$G13*(1+설정!$C$23))))</f>
        <v/>
      </c>
      <c r="J13" s="46"/>
      <c r="K13" s="46"/>
      <c r="L13" s="45" t="str">
        <f>IF($I13="","",IFERROR(IF(설정!$C$26="원가 가산",$I13*(1+IF($J13="",설정!$C$24,$J13)),$I13/(1-IF($J13="",설정!$C$24,$J13))),0))</f>
        <v/>
      </c>
      <c r="M13" s="104" t="str">
        <f>IF($I13="","",IFERROR(IF(설정!$C$27&lt;=1,ROUND(IF(설정!$C$26="원가 가산",$L13*(1+IF($K13="",설정!$C$25,$K13)),$I13/(1-IF($J13="",설정!$C$24,$J13)-IF($K13="",설정!$C$25,$K13))),0),CEILING(IF(설정!$C$26="원가 가산",$L13*(1+IF($K13="",설정!$C$25,$K13)),$I13/(1-IF($J13="",설정!$C$24,$J13)-IF($K13="",설정!$C$25,$K13))),설정!$C$27)),0))</f>
        <v/>
      </c>
      <c r="N13" s="52"/>
      <c r="O13" s="45" t="str">
        <f t="shared" si="0"/>
        <v/>
      </c>
      <c r="P13" s="45" t="str">
        <f>IF($O13="","",IF(설정!$C$26="원가 가산",$I13*IF($J13="",설정!$C$24,$J13),$O13*IF($J13="",설정!$C$24,$J13)))</f>
        <v/>
      </c>
      <c r="Q13" s="45" t="str">
        <f t="shared" si="1"/>
        <v/>
      </c>
      <c r="R13" s="47" t="str">
        <f t="shared" si="2"/>
        <v/>
      </c>
      <c r="S13" s="47" t="str">
        <f t="shared" si="3"/>
        <v/>
      </c>
      <c r="T13" s="47" t="str">
        <f t="shared" si="4"/>
        <v/>
      </c>
      <c r="U13" s="45" t="str">
        <f t="shared" si="5"/>
        <v/>
      </c>
      <c r="V13" s="54" t="str">
        <f t="shared" si="6"/>
        <v/>
      </c>
    </row>
    <row r="14" spans="2:22">
      <c r="B14" s="53"/>
      <c r="C14" s="75"/>
      <c r="D14" s="48"/>
      <c r="E14" s="48"/>
      <c r="F14" s="49"/>
      <c r="G14" s="52"/>
      <c r="H14" s="50"/>
      <c r="I14" s="44" t="str">
        <f>IF($D14="","",IF($D14="수입",IF(N($F14)=0,"",$F14*IF($E14="USD",설정!$C$11,IF($E14="CNY",설정!$C$12,1))*(1+설정!$C$17)),IF(N($G14)=0,"",$G14*(1+설정!$C$23))))</f>
        <v/>
      </c>
      <c r="J14" s="46"/>
      <c r="K14" s="46"/>
      <c r="L14" s="45" t="str">
        <f>IF($I14="","",IFERROR(IF(설정!$C$26="원가 가산",$I14*(1+IF($J14="",설정!$C$24,$J14)),$I14/(1-IF($J14="",설정!$C$24,$J14))),0))</f>
        <v/>
      </c>
      <c r="M14" s="104" t="str">
        <f>IF($I14="","",IFERROR(IF(설정!$C$27&lt;=1,ROUND(IF(설정!$C$26="원가 가산",$L14*(1+IF($K14="",설정!$C$25,$K14)),$I14/(1-IF($J14="",설정!$C$24,$J14)-IF($K14="",설정!$C$25,$K14))),0),CEILING(IF(설정!$C$26="원가 가산",$L14*(1+IF($K14="",설정!$C$25,$K14)),$I14/(1-IF($J14="",설정!$C$24,$J14)-IF($K14="",설정!$C$25,$K14))),설정!$C$27)),0))</f>
        <v/>
      </c>
      <c r="N14" s="52"/>
      <c r="O14" s="45" t="str">
        <f t="shared" si="0"/>
        <v/>
      </c>
      <c r="P14" s="45" t="str">
        <f>IF($O14="","",IF(설정!$C$26="원가 가산",$I14*IF($J14="",설정!$C$24,$J14),$O14*IF($J14="",설정!$C$24,$J14)))</f>
        <v/>
      </c>
      <c r="Q14" s="45" t="str">
        <f t="shared" si="1"/>
        <v/>
      </c>
      <c r="R14" s="47" t="str">
        <f t="shared" si="2"/>
        <v/>
      </c>
      <c r="S14" s="47" t="str">
        <f t="shared" si="3"/>
        <v/>
      </c>
      <c r="T14" s="47" t="str">
        <f t="shared" si="4"/>
        <v/>
      </c>
      <c r="U14" s="45" t="str">
        <f t="shared" si="5"/>
        <v/>
      </c>
      <c r="V14" s="54" t="str">
        <f t="shared" si="6"/>
        <v/>
      </c>
    </row>
    <row r="15" spans="2:22">
      <c r="B15" s="53"/>
      <c r="C15" s="75"/>
      <c r="D15" s="48"/>
      <c r="E15" s="48"/>
      <c r="F15" s="49"/>
      <c r="G15" s="52"/>
      <c r="H15" s="50"/>
      <c r="I15" s="44" t="str">
        <f>IF($D15="","",IF($D15="수입",IF(N($F15)=0,"",$F15*IF($E15="USD",설정!$C$11,IF($E15="CNY",설정!$C$12,1))*(1+설정!$C$17)),IF(N($G15)=0,"",$G15*(1+설정!$C$23))))</f>
        <v/>
      </c>
      <c r="J15" s="46"/>
      <c r="K15" s="46"/>
      <c r="L15" s="45" t="str">
        <f>IF($I15="","",IFERROR(IF(설정!$C$26="원가 가산",$I15*(1+IF($J15="",설정!$C$24,$J15)),$I15/(1-IF($J15="",설정!$C$24,$J15))),0))</f>
        <v/>
      </c>
      <c r="M15" s="104" t="str">
        <f>IF($I15="","",IFERROR(IF(설정!$C$27&lt;=1,ROUND(IF(설정!$C$26="원가 가산",$L15*(1+IF($K15="",설정!$C$25,$K15)),$I15/(1-IF($J15="",설정!$C$24,$J15)-IF($K15="",설정!$C$25,$K15))),0),CEILING(IF(설정!$C$26="원가 가산",$L15*(1+IF($K15="",설정!$C$25,$K15)),$I15/(1-IF($J15="",설정!$C$24,$J15)-IF($K15="",설정!$C$25,$K15))),설정!$C$27)),0))</f>
        <v/>
      </c>
      <c r="N15" s="52"/>
      <c r="O15" s="45" t="str">
        <f t="shared" si="0"/>
        <v/>
      </c>
      <c r="P15" s="45" t="str">
        <f>IF($O15="","",IF(설정!$C$26="원가 가산",$I15*IF($J15="",설정!$C$24,$J15),$O15*IF($J15="",설정!$C$24,$J15)))</f>
        <v/>
      </c>
      <c r="Q15" s="45" t="str">
        <f t="shared" si="1"/>
        <v/>
      </c>
      <c r="R15" s="47" t="str">
        <f t="shared" si="2"/>
        <v/>
      </c>
      <c r="S15" s="47" t="str">
        <f t="shared" si="3"/>
        <v/>
      </c>
      <c r="T15" s="47" t="str">
        <f t="shared" si="4"/>
        <v/>
      </c>
      <c r="U15" s="45" t="str">
        <f t="shared" si="5"/>
        <v/>
      </c>
      <c r="V15" s="54" t="str">
        <f t="shared" si="6"/>
        <v/>
      </c>
    </row>
    <row r="16" spans="2:22">
      <c r="B16" s="53"/>
      <c r="C16" s="75"/>
      <c r="D16" s="48"/>
      <c r="E16" s="48"/>
      <c r="F16" s="49"/>
      <c r="G16" s="52"/>
      <c r="H16" s="50"/>
      <c r="I16" s="44" t="str">
        <f>IF($D16="","",IF($D16="수입",IF(N($F16)=0,"",$F16*IF($E16="USD",설정!$C$11,IF($E16="CNY",설정!$C$12,1))*(1+설정!$C$17)),IF(N($G16)=0,"",$G16*(1+설정!$C$23))))</f>
        <v/>
      </c>
      <c r="J16" s="46"/>
      <c r="K16" s="46"/>
      <c r="L16" s="45" t="str">
        <f>IF($I16="","",IFERROR(IF(설정!$C$26="원가 가산",$I16*(1+IF($J16="",설정!$C$24,$J16)),$I16/(1-IF($J16="",설정!$C$24,$J16))),0))</f>
        <v/>
      </c>
      <c r="M16" s="104" t="str">
        <f>IF($I16="","",IFERROR(IF(설정!$C$27&lt;=1,ROUND(IF(설정!$C$26="원가 가산",$L16*(1+IF($K16="",설정!$C$25,$K16)),$I16/(1-IF($J16="",설정!$C$24,$J16)-IF($K16="",설정!$C$25,$K16))),0),CEILING(IF(설정!$C$26="원가 가산",$L16*(1+IF($K16="",설정!$C$25,$K16)),$I16/(1-IF($J16="",설정!$C$24,$J16)-IF($K16="",설정!$C$25,$K16))),설정!$C$27)),0))</f>
        <v/>
      </c>
      <c r="N16" s="52"/>
      <c r="O16" s="45" t="str">
        <f t="shared" si="0"/>
        <v/>
      </c>
      <c r="P16" s="45" t="str">
        <f>IF($O16="","",IF(설정!$C$26="원가 가산",$I16*IF($J16="",설정!$C$24,$J16),$O16*IF($J16="",설정!$C$24,$J16)))</f>
        <v/>
      </c>
      <c r="Q16" s="45" t="str">
        <f t="shared" si="1"/>
        <v/>
      </c>
      <c r="R16" s="47" t="str">
        <f t="shared" si="2"/>
        <v/>
      </c>
      <c r="S16" s="47" t="str">
        <f t="shared" si="3"/>
        <v/>
      </c>
      <c r="T16" s="47" t="str">
        <f t="shared" si="4"/>
        <v/>
      </c>
      <c r="U16" s="45" t="str">
        <f t="shared" si="5"/>
        <v/>
      </c>
      <c r="V16" s="54" t="str">
        <f t="shared" si="6"/>
        <v/>
      </c>
    </row>
    <row r="17" spans="2:22">
      <c r="B17" s="53"/>
      <c r="C17" s="75"/>
      <c r="D17" s="48"/>
      <c r="E17" s="48"/>
      <c r="F17" s="49"/>
      <c r="G17" s="52"/>
      <c r="H17" s="50"/>
      <c r="I17" s="44" t="str">
        <f>IF($D17="","",IF($D17="수입",IF(N($F17)=0,"",$F17*IF($E17="USD",설정!$C$11,IF($E17="CNY",설정!$C$12,1))*(1+설정!$C$17)),IF(N($G17)=0,"",$G17*(1+설정!$C$23))))</f>
        <v/>
      </c>
      <c r="J17" s="46"/>
      <c r="K17" s="46"/>
      <c r="L17" s="45" t="str">
        <f>IF($I17="","",IFERROR(IF(설정!$C$26="원가 가산",$I17*(1+IF($J17="",설정!$C$24,$J17)),$I17/(1-IF($J17="",설정!$C$24,$J17))),0))</f>
        <v/>
      </c>
      <c r="M17" s="104" t="str">
        <f>IF($I17="","",IFERROR(IF(설정!$C$27&lt;=1,ROUND(IF(설정!$C$26="원가 가산",$L17*(1+IF($K17="",설정!$C$25,$K17)),$I17/(1-IF($J17="",설정!$C$24,$J17)-IF($K17="",설정!$C$25,$K17))),0),CEILING(IF(설정!$C$26="원가 가산",$L17*(1+IF($K17="",설정!$C$25,$K17)),$I17/(1-IF($J17="",설정!$C$24,$J17)-IF($K17="",설정!$C$25,$K17))),설정!$C$27)),0))</f>
        <v/>
      </c>
      <c r="N17" s="52"/>
      <c r="O17" s="45" t="str">
        <f t="shared" si="0"/>
        <v/>
      </c>
      <c r="P17" s="45" t="str">
        <f>IF($O17="","",IF(설정!$C$26="원가 가산",$I17*IF($J17="",설정!$C$24,$J17),$O17*IF($J17="",설정!$C$24,$J17)))</f>
        <v/>
      </c>
      <c r="Q17" s="45" t="str">
        <f t="shared" si="1"/>
        <v/>
      </c>
      <c r="R17" s="47" t="str">
        <f t="shared" si="2"/>
        <v/>
      </c>
      <c r="S17" s="47" t="str">
        <f t="shared" si="3"/>
        <v/>
      </c>
      <c r="T17" s="47" t="str">
        <f t="shared" si="4"/>
        <v/>
      </c>
      <c r="U17" s="45" t="str">
        <f t="shared" si="5"/>
        <v/>
      </c>
      <c r="V17" s="54" t="str">
        <f t="shared" si="6"/>
        <v/>
      </c>
    </row>
    <row r="18" spans="2:22">
      <c r="B18" s="53"/>
      <c r="C18" s="75"/>
      <c r="D18" s="48"/>
      <c r="E18" s="48"/>
      <c r="F18" s="49"/>
      <c r="G18" s="52"/>
      <c r="H18" s="50"/>
      <c r="I18" s="44" t="str">
        <f>IF($D18="","",IF($D18="수입",IF(N($F18)=0,"",$F18*IF($E18="USD",설정!$C$11,IF($E18="CNY",설정!$C$12,1))*(1+설정!$C$17)),IF(N($G18)=0,"",$G18*(1+설정!$C$23))))</f>
        <v/>
      </c>
      <c r="J18" s="46"/>
      <c r="K18" s="46"/>
      <c r="L18" s="45" t="str">
        <f>IF($I18="","",IFERROR(IF(설정!$C$26="원가 가산",$I18*(1+IF($J18="",설정!$C$24,$J18)),$I18/(1-IF($J18="",설정!$C$24,$J18))),0))</f>
        <v/>
      </c>
      <c r="M18" s="104" t="str">
        <f>IF($I18="","",IFERROR(IF(설정!$C$27&lt;=1,ROUND(IF(설정!$C$26="원가 가산",$L18*(1+IF($K18="",설정!$C$25,$K18)),$I18/(1-IF($J18="",설정!$C$24,$J18)-IF($K18="",설정!$C$25,$K18))),0),CEILING(IF(설정!$C$26="원가 가산",$L18*(1+IF($K18="",설정!$C$25,$K18)),$I18/(1-IF($J18="",설정!$C$24,$J18)-IF($K18="",설정!$C$25,$K18))),설정!$C$27)),0))</f>
        <v/>
      </c>
      <c r="N18" s="52"/>
      <c r="O18" s="45" t="str">
        <f t="shared" si="0"/>
        <v/>
      </c>
      <c r="P18" s="45" t="str">
        <f>IF($O18="","",IF(설정!$C$26="원가 가산",$I18*IF($J18="",설정!$C$24,$J18),$O18*IF($J18="",설정!$C$24,$J18)))</f>
        <v/>
      </c>
      <c r="Q18" s="45" t="str">
        <f t="shared" si="1"/>
        <v/>
      </c>
      <c r="R18" s="47" t="str">
        <f t="shared" si="2"/>
        <v/>
      </c>
      <c r="S18" s="47" t="str">
        <f t="shared" si="3"/>
        <v/>
      </c>
      <c r="T18" s="47" t="str">
        <f t="shared" si="4"/>
        <v/>
      </c>
      <c r="U18" s="45" t="str">
        <f t="shared" si="5"/>
        <v/>
      </c>
      <c r="V18" s="54" t="str">
        <f t="shared" si="6"/>
        <v/>
      </c>
    </row>
    <row r="19" spans="2:22">
      <c r="B19" s="53"/>
      <c r="C19" s="75"/>
      <c r="D19" s="48"/>
      <c r="E19" s="48"/>
      <c r="F19" s="49"/>
      <c r="G19" s="52"/>
      <c r="H19" s="50"/>
      <c r="I19" s="44" t="str">
        <f>IF($D19="","",IF($D19="수입",IF(N($F19)=0,"",$F19*IF($E19="USD",설정!$C$11,IF($E19="CNY",설정!$C$12,1))*(1+설정!$C$17)),IF(N($G19)=0,"",$G19*(1+설정!$C$23))))</f>
        <v/>
      </c>
      <c r="J19" s="46"/>
      <c r="K19" s="46"/>
      <c r="L19" s="45" t="str">
        <f>IF($I19="","",IFERROR(IF(설정!$C$26="원가 가산",$I19*(1+IF($J19="",설정!$C$24,$J19)),$I19/(1-IF($J19="",설정!$C$24,$J19))),0))</f>
        <v/>
      </c>
      <c r="M19" s="104" t="str">
        <f>IF($I19="","",IFERROR(IF(설정!$C$27&lt;=1,ROUND(IF(설정!$C$26="원가 가산",$L19*(1+IF($K19="",설정!$C$25,$K19)),$I19/(1-IF($J19="",설정!$C$24,$J19)-IF($K19="",설정!$C$25,$K19))),0),CEILING(IF(설정!$C$26="원가 가산",$L19*(1+IF($K19="",설정!$C$25,$K19)),$I19/(1-IF($J19="",설정!$C$24,$J19)-IF($K19="",설정!$C$25,$K19))),설정!$C$27)),0))</f>
        <v/>
      </c>
      <c r="N19" s="52"/>
      <c r="O19" s="45" t="str">
        <f t="shared" si="0"/>
        <v/>
      </c>
      <c r="P19" s="45" t="str">
        <f>IF($O19="","",IF(설정!$C$26="원가 가산",$I19*IF($J19="",설정!$C$24,$J19),$O19*IF($J19="",설정!$C$24,$J19)))</f>
        <v/>
      </c>
      <c r="Q19" s="45" t="str">
        <f t="shared" si="1"/>
        <v/>
      </c>
      <c r="R19" s="47" t="str">
        <f t="shared" si="2"/>
        <v/>
      </c>
      <c r="S19" s="47" t="str">
        <f t="shared" si="3"/>
        <v/>
      </c>
      <c r="T19" s="47" t="str">
        <f t="shared" si="4"/>
        <v/>
      </c>
      <c r="U19" s="45" t="str">
        <f t="shared" si="5"/>
        <v/>
      </c>
      <c r="V19" s="54" t="str">
        <f t="shared" si="6"/>
        <v/>
      </c>
    </row>
    <row r="20" spans="2:22">
      <c r="B20" s="53"/>
      <c r="C20" s="75"/>
      <c r="D20" s="48"/>
      <c r="E20" s="48"/>
      <c r="F20" s="49"/>
      <c r="G20" s="52"/>
      <c r="H20" s="50"/>
      <c r="I20" s="44" t="str">
        <f>IF($D20="","",IF($D20="수입",IF(N($F20)=0,"",$F20*IF($E20="USD",설정!$C$11,IF($E20="CNY",설정!$C$12,1))*(1+설정!$C$17)),IF(N($G20)=0,"",$G20*(1+설정!$C$23))))</f>
        <v/>
      </c>
      <c r="J20" s="46"/>
      <c r="K20" s="46"/>
      <c r="L20" s="45" t="str">
        <f>IF($I20="","",IFERROR(IF(설정!$C$26="원가 가산",$I20*(1+IF($J20="",설정!$C$24,$J20)),$I20/(1-IF($J20="",설정!$C$24,$J20))),0))</f>
        <v/>
      </c>
      <c r="M20" s="104" t="str">
        <f>IF($I20="","",IFERROR(IF(설정!$C$27&lt;=1,ROUND(IF(설정!$C$26="원가 가산",$L20*(1+IF($K20="",설정!$C$25,$K20)),$I20/(1-IF($J20="",설정!$C$24,$J20)-IF($K20="",설정!$C$25,$K20))),0),CEILING(IF(설정!$C$26="원가 가산",$L20*(1+IF($K20="",설정!$C$25,$K20)),$I20/(1-IF($J20="",설정!$C$24,$J20)-IF($K20="",설정!$C$25,$K20))),설정!$C$27)),0))</f>
        <v/>
      </c>
      <c r="N20" s="52"/>
      <c r="O20" s="45" t="str">
        <f t="shared" si="0"/>
        <v/>
      </c>
      <c r="P20" s="45" t="str">
        <f>IF($O20="","",IF(설정!$C$26="원가 가산",$I20*IF($J20="",설정!$C$24,$J20),$O20*IF($J20="",설정!$C$24,$J20)))</f>
        <v/>
      </c>
      <c r="Q20" s="45" t="str">
        <f t="shared" si="1"/>
        <v/>
      </c>
      <c r="R20" s="47" t="str">
        <f t="shared" si="2"/>
        <v/>
      </c>
      <c r="S20" s="47" t="str">
        <f t="shared" si="3"/>
        <v/>
      </c>
      <c r="T20" s="47" t="str">
        <f t="shared" si="4"/>
        <v/>
      </c>
      <c r="U20" s="45" t="str">
        <f t="shared" si="5"/>
        <v/>
      </c>
      <c r="V20" s="54" t="str">
        <f t="shared" si="6"/>
        <v/>
      </c>
    </row>
    <row r="21" spans="2:22">
      <c r="B21" s="53"/>
      <c r="C21" s="75"/>
      <c r="D21" s="48"/>
      <c r="E21" s="48"/>
      <c r="F21" s="49"/>
      <c r="G21" s="52"/>
      <c r="H21" s="50"/>
      <c r="I21" s="44" t="str">
        <f>IF($D21="","",IF($D21="수입",IF(N($F21)=0,"",$F21*IF($E21="USD",설정!$C$11,IF($E21="CNY",설정!$C$12,1))*(1+설정!$C$17)),IF(N($G21)=0,"",$G21*(1+설정!$C$23))))</f>
        <v/>
      </c>
      <c r="J21" s="46"/>
      <c r="K21" s="46"/>
      <c r="L21" s="45" t="str">
        <f>IF($I21="","",IFERROR(IF(설정!$C$26="원가 가산",$I21*(1+IF($J21="",설정!$C$24,$J21)),$I21/(1-IF($J21="",설정!$C$24,$J21))),0))</f>
        <v/>
      </c>
      <c r="M21" s="104" t="str">
        <f>IF($I21="","",IFERROR(IF(설정!$C$27&lt;=1,ROUND(IF(설정!$C$26="원가 가산",$L21*(1+IF($K21="",설정!$C$25,$K21)),$I21/(1-IF($J21="",설정!$C$24,$J21)-IF($K21="",설정!$C$25,$K21))),0),CEILING(IF(설정!$C$26="원가 가산",$L21*(1+IF($K21="",설정!$C$25,$K21)),$I21/(1-IF($J21="",설정!$C$24,$J21)-IF($K21="",설정!$C$25,$K21))),설정!$C$27)),0))</f>
        <v/>
      </c>
      <c r="N21" s="52"/>
      <c r="O21" s="45" t="str">
        <f t="shared" si="0"/>
        <v/>
      </c>
      <c r="P21" s="45" t="str">
        <f>IF($O21="","",IF(설정!$C$26="원가 가산",$I21*IF($J21="",설정!$C$24,$J21),$O21*IF($J21="",설정!$C$24,$J21)))</f>
        <v/>
      </c>
      <c r="Q21" s="45" t="str">
        <f t="shared" si="1"/>
        <v/>
      </c>
      <c r="R21" s="47" t="str">
        <f t="shared" si="2"/>
        <v/>
      </c>
      <c r="S21" s="47" t="str">
        <f t="shared" si="3"/>
        <v/>
      </c>
      <c r="T21" s="47" t="str">
        <f t="shared" si="4"/>
        <v/>
      </c>
      <c r="U21" s="45" t="str">
        <f t="shared" si="5"/>
        <v/>
      </c>
      <c r="V21" s="54" t="str">
        <f t="shared" si="6"/>
        <v/>
      </c>
    </row>
    <row r="22" spans="2:22">
      <c r="B22" s="53"/>
      <c r="C22" s="75"/>
      <c r="D22" s="48"/>
      <c r="E22" s="48"/>
      <c r="F22" s="49"/>
      <c r="G22" s="52"/>
      <c r="H22" s="50"/>
      <c r="I22" s="44" t="str">
        <f>IF($D22="","",IF($D22="수입",IF(N($F22)=0,"",$F22*IF($E22="USD",설정!$C$11,IF($E22="CNY",설정!$C$12,1))*(1+설정!$C$17)),IF(N($G22)=0,"",$G22*(1+설정!$C$23))))</f>
        <v/>
      </c>
      <c r="J22" s="46"/>
      <c r="K22" s="46"/>
      <c r="L22" s="45" t="str">
        <f>IF($I22="","",IFERROR(IF(설정!$C$26="원가 가산",$I22*(1+IF($J22="",설정!$C$24,$J22)),$I22/(1-IF($J22="",설정!$C$24,$J22))),0))</f>
        <v/>
      </c>
      <c r="M22" s="104" t="str">
        <f>IF($I22="","",IFERROR(IF(설정!$C$27&lt;=1,ROUND(IF(설정!$C$26="원가 가산",$L22*(1+IF($K22="",설정!$C$25,$K22)),$I22/(1-IF($J22="",설정!$C$24,$J22)-IF($K22="",설정!$C$25,$K22))),0),CEILING(IF(설정!$C$26="원가 가산",$L22*(1+IF($K22="",설정!$C$25,$K22)),$I22/(1-IF($J22="",설정!$C$24,$J22)-IF($K22="",설정!$C$25,$K22))),설정!$C$27)),0))</f>
        <v/>
      </c>
      <c r="N22" s="52"/>
      <c r="O22" s="45" t="str">
        <f t="shared" si="0"/>
        <v/>
      </c>
      <c r="P22" s="45" t="str">
        <f>IF($O22="","",IF(설정!$C$26="원가 가산",$I22*IF($J22="",설정!$C$24,$J22),$O22*IF($J22="",설정!$C$24,$J22)))</f>
        <v/>
      </c>
      <c r="Q22" s="45" t="str">
        <f t="shared" si="1"/>
        <v/>
      </c>
      <c r="R22" s="47" t="str">
        <f t="shared" si="2"/>
        <v/>
      </c>
      <c r="S22" s="47" t="str">
        <f t="shared" si="3"/>
        <v/>
      </c>
      <c r="T22" s="47" t="str">
        <f t="shared" si="4"/>
        <v/>
      </c>
      <c r="U22" s="45" t="str">
        <f t="shared" si="5"/>
        <v/>
      </c>
      <c r="V22" s="54" t="str">
        <f t="shared" si="6"/>
        <v/>
      </c>
    </row>
    <row r="23" spans="2:22">
      <c r="B23" s="53"/>
      <c r="C23" s="75"/>
      <c r="D23" s="48"/>
      <c r="E23" s="48"/>
      <c r="F23" s="49"/>
      <c r="G23" s="52"/>
      <c r="H23" s="50"/>
      <c r="I23" s="44" t="str">
        <f>IF($D23="","",IF($D23="수입",IF(N($F23)=0,"",$F23*IF($E23="USD",설정!$C$11,IF($E23="CNY",설정!$C$12,1))*(1+설정!$C$17)),IF(N($G23)=0,"",$G23*(1+설정!$C$23))))</f>
        <v/>
      </c>
      <c r="J23" s="46"/>
      <c r="K23" s="46"/>
      <c r="L23" s="45" t="str">
        <f>IF($I23="","",IFERROR(IF(설정!$C$26="원가 가산",$I23*(1+IF($J23="",설정!$C$24,$J23)),$I23/(1-IF($J23="",설정!$C$24,$J23))),0))</f>
        <v/>
      </c>
      <c r="M23" s="104" t="str">
        <f>IF($I23="","",IFERROR(IF(설정!$C$27&lt;=1,ROUND(IF(설정!$C$26="원가 가산",$L23*(1+IF($K23="",설정!$C$25,$K23)),$I23/(1-IF($J23="",설정!$C$24,$J23)-IF($K23="",설정!$C$25,$K23))),0),CEILING(IF(설정!$C$26="원가 가산",$L23*(1+IF($K23="",설정!$C$25,$K23)),$I23/(1-IF($J23="",설정!$C$24,$J23)-IF($K23="",설정!$C$25,$K23))),설정!$C$27)),0))</f>
        <v/>
      </c>
      <c r="N23" s="52"/>
      <c r="O23" s="45" t="str">
        <f t="shared" si="0"/>
        <v/>
      </c>
      <c r="P23" s="45" t="str">
        <f>IF($O23="","",IF(설정!$C$26="원가 가산",$I23*IF($J23="",설정!$C$24,$J23),$O23*IF($J23="",설정!$C$24,$J23)))</f>
        <v/>
      </c>
      <c r="Q23" s="45" t="str">
        <f t="shared" si="1"/>
        <v/>
      </c>
      <c r="R23" s="47" t="str">
        <f t="shared" si="2"/>
        <v/>
      </c>
      <c r="S23" s="47" t="str">
        <f t="shared" si="3"/>
        <v/>
      </c>
      <c r="T23" s="47" t="str">
        <f t="shared" si="4"/>
        <v/>
      </c>
      <c r="U23" s="45" t="str">
        <f t="shared" si="5"/>
        <v/>
      </c>
      <c r="V23" s="54" t="str">
        <f t="shared" si="6"/>
        <v/>
      </c>
    </row>
    <row r="24" spans="2:22">
      <c r="B24" s="53"/>
      <c r="C24" s="75"/>
      <c r="D24" s="48"/>
      <c r="E24" s="48"/>
      <c r="F24" s="49"/>
      <c r="G24" s="52"/>
      <c r="H24" s="50"/>
      <c r="I24" s="44" t="str">
        <f>IF($D24="","",IF($D24="수입",IF(N($F24)=0,"",$F24*IF($E24="USD",설정!$C$11,IF($E24="CNY",설정!$C$12,1))*(1+설정!$C$17)),IF(N($G24)=0,"",$G24*(1+설정!$C$23))))</f>
        <v/>
      </c>
      <c r="J24" s="46"/>
      <c r="K24" s="46"/>
      <c r="L24" s="45" t="str">
        <f>IF($I24="","",IFERROR(IF(설정!$C$26="원가 가산",$I24*(1+IF($J24="",설정!$C$24,$J24)),$I24/(1-IF($J24="",설정!$C$24,$J24))),0))</f>
        <v/>
      </c>
      <c r="M24" s="104" t="str">
        <f>IF($I24="","",IFERROR(IF(설정!$C$27&lt;=1,ROUND(IF(설정!$C$26="원가 가산",$L24*(1+IF($K24="",설정!$C$25,$K24)),$I24/(1-IF($J24="",설정!$C$24,$J24)-IF($K24="",설정!$C$25,$K24))),0),CEILING(IF(설정!$C$26="원가 가산",$L24*(1+IF($K24="",설정!$C$25,$K24)),$I24/(1-IF($J24="",설정!$C$24,$J24)-IF($K24="",설정!$C$25,$K24))),설정!$C$27)),0))</f>
        <v/>
      </c>
      <c r="N24" s="52"/>
      <c r="O24" s="45" t="str">
        <f t="shared" si="0"/>
        <v/>
      </c>
      <c r="P24" s="45" t="str">
        <f>IF($O24="","",IF(설정!$C$26="원가 가산",$I24*IF($J24="",설정!$C$24,$J24),$O24*IF($J24="",설정!$C$24,$J24)))</f>
        <v/>
      </c>
      <c r="Q24" s="45" t="str">
        <f t="shared" si="1"/>
        <v/>
      </c>
      <c r="R24" s="47" t="str">
        <f t="shared" si="2"/>
        <v/>
      </c>
      <c r="S24" s="47" t="str">
        <f t="shared" si="3"/>
        <v/>
      </c>
      <c r="T24" s="47" t="str">
        <f t="shared" si="4"/>
        <v/>
      </c>
      <c r="U24" s="45" t="str">
        <f t="shared" si="5"/>
        <v/>
      </c>
      <c r="V24" s="54" t="str">
        <f t="shared" si="6"/>
        <v/>
      </c>
    </row>
    <row r="25" spans="2:22">
      <c r="B25" s="53"/>
      <c r="C25" s="75"/>
      <c r="D25" s="48"/>
      <c r="E25" s="48"/>
      <c r="F25" s="49"/>
      <c r="G25" s="52"/>
      <c r="H25" s="50"/>
      <c r="I25" s="44" t="str">
        <f>IF($D25="","",IF($D25="수입",IF(N($F25)=0,"",$F25*IF($E25="USD",설정!$C$11,IF($E25="CNY",설정!$C$12,1))*(1+설정!$C$17)),IF(N($G25)=0,"",$G25*(1+설정!$C$23))))</f>
        <v/>
      </c>
      <c r="J25" s="46"/>
      <c r="K25" s="46"/>
      <c r="L25" s="45" t="str">
        <f>IF($I25="","",IFERROR(IF(설정!$C$26="원가 가산",$I25*(1+IF($J25="",설정!$C$24,$J25)),$I25/(1-IF($J25="",설정!$C$24,$J25))),0))</f>
        <v/>
      </c>
      <c r="M25" s="104" t="str">
        <f>IF($I25="","",IFERROR(IF(설정!$C$27&lt;=1,ROUND(IF(설정!$C$26="원가 가산",$L25*(1+IF($K25="",설정!$C$25,$K25)),$I25/(1-IF($J25="",설정!$C$24,$J25)-IF($K25="",설정!$C$25,$K25))),0),CEILING(IF(설정!$C$26="원가 가산",$L25*(1+IF($K25="",설정!$C$25,$K25)),$I25/(1-IF($J25="",설정!$C$24,$J25)-IF($K25="",설정!$C$25,$K25))),설정!$C$27)),0))</f>
        <v/>
      </c>
      <c r="N25" s="52"/>
      <c r="O25" s="45" t="str">
        <f t="shared" si="0"/>
        <v/>
      </c>
      <c r="P25" s="45" t="str">
        <f>IF($O25="","",IF(설정!$C$26="원가 가산",$I25*IF($J25="",설정!$C$24,$J25),$O25*IF($J25="",설정!$C$24,$J25)))</f>
        <v/>
      </c>
      <c r="Q25" s="45" t="str">
        <f t="shared" si="1"/>
        <v/>
      </c>
      <c r="R25" s="47" t="str">
        <f t="shared" si="2"/>
        <v/>
      </c>
      <c r="S25" s="47" t="str">
        <f t="shared" si="3"/>
        <v/>
      </c>
      <c r="T25" s="47" t="str">
        <f t="shared" si="4"/>
        <v/>
      </c>
      <c r="U25" s="45" t="str">
        <f t="shared" si="5"/>
        <v/>
      </c>
      <c r="V25" s="54" t="str">
        <f t="shared" si="6"/>
        <v/>
      </c>
    </row>
    <row r="26" spans="2:22" ht="18" customHeight="1" thickBot="1">
      <c r="B26" s="55" t="s">
        <v>22</v>
      </c>
      <c r="C26" s="76"/>
      <c r="D26" s="56"/>
      <c r="E26" s="56"/>
      <c r="F26" s="56"/>
      <c r="G26" s="56"/>
      <c r="H26" s="57">
        <f>SUM(H6:H25)</f>
        <v>2400</v>
      </c>
      <c r="I26" s="56"/>
      <c r="J26" s="56"/>
      <c r="K26" s="56"/>
      <c r="L26" s="56"/>
      <c r="M26" s="56"/>
      <c r="N26" s="56"/>
      <c r="O26" s="56"/>
      <c r="P26" s="56"/>
      <c r="Q26" s="56"/>
      <c r="R26" s="58">
        <f>IFERROR(SUM(V6:V25)/SUM(U6:U25),0)</f>
        <v>0.10032782369146005</v>
      </c>
      <c r="S26" s="56"/>
      <c r="T26" s="56"/>
      <c r="U26" s="59">
        <f>SUM(U6:U25)</f>
        <v>10890000</v>
      </c>
      <c r="V26" s="60">
        <f>SUM(V6:V25)</f>
        <v>1092570</v>
      </c>
    </row>
    <row r="28" spans="2:22">
      <c r="B28" s="82" t="s">
        <v>23</v>
      </c>
      <c r="C28" s="4"/>
    </row>
    <row r="29" spans="2:22">
      <c r="B29" s="82" t="s">
        <v>24</v>
      </c>
      <c r="C29" s="4"/>
    </row>
    <row r="30" spans="2:22">
      <c r="B30" s="82" t="s">
        <v>25</v>
      </c>
      <c r="C30" s="4"/>
    </row>
    <row r="31" spans="2:22">
      <c r="B31" s="83" t="s">
        <v>26</v>
      </c>
      <c r="C31" s="3"/>
    </row>
    <row r="32" spans="2:22">
      <c r="B32" s="82" t="s">
        <v>27</v>
      </c>
      <c r="C32" s="3"/>
    </row>
    <row r="33" spans="2:3">
      <c r="B33" s="82" t="s">
        <v>28</v>
      </c>
      <c r="C33" s="4"/>
    </row>
  </sheetData>
  <phoneticPr fontId="11" type="noConversion"/>
  <conditionalFormatting sqref="N6:N25">
    <cfRule type="expression" dxfId="2" priority="1">
      <formula>AND(N($N6)&gt;0,N($L6)&gt;0,$N6&lt;$L6)</formula>
    </cfRule>
  </conditionalFormatting>
  <conditionalFormatting sqref="S6:S25">
    <cfRule type="expression" dxfId="1" priority="2">
      <formula>AND(N($O6)&gt;0,$O6&lt;$M6)</formula>
    </cfRule>
  </conditionalFormatting>
  <dataValidations count="2">
    <dataValidation type="list" allowBlank="1" sqref="D6:D25" xr:uid="{00000000-0002-0000-0100-000000000000}">
      <formula1>"수입,국내"</formula1>
    </dataValidation>
    <dataValidation type="list" allowBlank="1" sqref="E6:E25" xr:uid="{00000000-0002-0000-0100-000001000000}">
      <formula1>"USD,CNY,KRW"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4F0DC-F267-412E-BA46-6FEE99B2E83E}">
  <dimension ref="B4:K8"/>
  <sheetViews>
    <sheetView topLeftCell="A2" workbookViewId="0">
      <selection activeCell="N7" sqref="N7"/>
    </sheetView>
  </sheetViews>
  <sheetFormatPr defaultRowHeight="17.399999999999999"/>
  <cols>
    <col min="2" max="2" width="54.59765625" customWidth="1"/>
    <col min="3" max="3" width="5.19921875" customWidth="1"/>
    <col min="4" max="4" width="12.3984375" customWidth="1"/>
    <col min="5" max="6" width="10.5" customWidth="1"/>
    <col min="7" max="7" width="11.19921875" customWidth="1"/>
    <col min="8" max="8" width="12.09765625" customWidth="1"/>
  </cols>
  <sheetData>
    <row r="4" spans="2:11" ht="31.2" customHeight="1">
      <c r="B4" s="110"/>
      <c r="C4" s="110" t="s">
        <v>174</v>
      </c>
      <c r="D4" s="110" t="s">
        <v>175</v>
      </c>
      <c r="E4" s="111" t="s">
        <v>176</v>
      </c>
      <c r="F4" s="112"/>
      <c r="G4" s="111" t="s">
        <v>177</v>
      </c>
      <c r="H4" s="112"/>
      <c r="I4" s="111" t="s">
        <v>178</v>
      </c>
      <c r="J4" s="112"/>
      <c r="K4" s="110" t="s">
        <v>179</v>
      </c>
    </row>
    <row r="5" spans="2:11" ht="90" customHeight="1">
      <c r="B5" s="107" t="e" vm="1">
        <v>#VALUE!</v>
      </c>
      <c r="C5" s="108">
        <v>1</v>
      </c>
      <c r="D5" s="108" t="s">
        <v>172</v>
      </c>
      <c r="E5" s="109" t="e" vm="2">
        <v>#VALUE!</v>
      </c>
      <c r="F5" s="109"/>
      <c r="G5" s="108"/>
      <c r="H5" s="108"/>
      <c r="I5" s="108"/>
      <c r="J5" s="108"/>
      <c r="K5" s="108"/>
    </row>
    <row r="6" spans="2:11" ht="90" customHeight="1">
      <c r="B6" s="107"/>
      <c r="C6" s="105">
        <v>2</v>
      </c>
      <c r="D6" s="105" t="s">
        <v>173</v>
      </c>
      <c r="E6" s="106" t="e" vm="3">
        <v>#VALUE!</v>
      </c>
      <c r="F6" s="106"/>
      <c r="G6" s="105" t="e" vm="4">
        <v>#VALUE!</v>
      </c>
      <c r="H6" s="105" t="e" vm="5">
        <v>#VALUE!</v>
      </c>
      <c r="I6" s="105" t="e" vm="6">
        <v>#VALUE!</v>
      </c>
      <c r="J6" s="105" t="e" vm="7">
        <v>#VALUE!</v>
      </c>
      <c r="K6" s="105" t="e" vm="8">
        <v>#VALUE!</v>
      </c>
    </row>
    <row r="7" spans="2:11" ht="90" customHeight="1">
      <c r="B7" s="107"/>
      <c r="C7" s="105">
        <v>3</v>
      </c>
      <c r="D7" s="105" t="s">
        <v>172</v>
      </c>
      <c r="E7" s="106" t="e" vm="9">
        <v>#VALUE!</v>
      </c>
      <c r="F7" s="106"/>
      <c r="G7" s="105"/>
      <c r="H7" s="105"/>
      <c r="I7" s="105"/>
      <c r="J7" s="105"/>
      <c r="K7" s="105"/>
    </row>
    <row r="8" spans="2:11" ht="90" customHeight="1">
      <c r="B8" s="107"/>
      <c r="C8" s="105">
        <v>4</v>
      </c>
      <c r="D8" s="105" t="s">
        <v>173</v>
      </c>
      <c r="E8" s="105" t="e" vm="10">
        <v>#VALUE!</v>
      </c>
      <c r="F8" s="105" t="e" vm="11">
        <v>#VALUE!</v>
      </c>
      <c r="G8" s="105" t="e" vm="4">
        <v>#VALUE!</v>
      </c>
      <c r="H8" s="105" t="e" vm="5">
        <v>#VALUE!</v>
      </c>
      <c r="I8" s="105" t="e" vm="6">
        <v>#VALUE!</v>
      </c>
      <c r="J8" s="105" t="e" vm="7">
        <v>#VALUE!</v>
      </c>
      <c r="K8" s="105" t="e" vm="8">
        <v>#VALUE!</v>
      </c>
    </row>
  </sheetData>
  <mergeCells count="7">
    <mergeCell ref="E7:F7"/>
    <mergeCell ref="E6:F6"/>
    <mergeCell ref="E5:F5"/>
    <mergeCell ref="B5:B8"/>
    <mergeCell ref="E4:F4"/>
    <mergeCell ref="G4:H4"/>
    <mergeCell ref="I4:J4"/>
  </mergeCells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J24"/>
  <sheetViews>
    <sheetView showGridLines="0" workbookViewId="0">
      <selection activeCell="G22" sqref="G22"/>
    </sheetView>
  </sheetViews>
  <sheetFormatPr defaultRowHeight="17.399999999999999"/>
  <cols>
    <col min="1" max="1" width="2" customWidth="1"/>
    <col min="2" max="2" width="30" customWidth="1"/>
    <col min="3" max="3" width="16" customWidth="1"/>
    <col min="4" max="4" width="13" customWidth="1"/>
    <col min="5" max="5" width="9" customWidth="1"/>
    <col min="6" max="6" width="13" customWidth="1"/>
    <col min="7" max="7" width="14" customWidth="1"/>
    <col min="8" max="8" width="12" customWidth="1"/>
    <col min="9" max="10" width="16" customWidth="1"/>
  </cols>
  <sheetData>
    <row r="2" spans="2:10" ht="21">
      <c r="B2" s="84" t="s">
        <v>157</v>
      </c>
    </row>
    <row r="3" spans="2:10">
      <c r="B3" s="85" t="str">
        <f ca="1">"적용 연월 "&amp;설정!$C$8&amp;"  ·  USD "&amp;TEXT(설정!$C$11,"#,##0.00")&amp;"  ·  CNY "&amp;TEXT(설정!$C$12,"#,##0.00")&amp;"  ·  판관비 "&amp;TEXT(설정!$C$24,"0.0%")&amp;"  ·  목표 영업이익 "&amp;TEXT(설정!$C$25,"0.0%")&amp;"  ·  "&amp;설정!$C$26&amp;" 방식"</f>
        <v>적용 연월 2026-08  ·  USD 1,406.30  ·  CNY 208.69  ·  판관비 8.7%  ·  목표 영업이익 10.0%  ·  매출 대비 방식</v>
      </c>
    </row>
    <row r="4" spans="2:10">
      <c r="B4" s="82" t="str">
        <f ca="1">"작성일 "&amp;TEXT(TODAY(),"YYYY-MM-DD")&amp;"   |   금액은 모두 부가세 별도"</f>
        <v>작성일 2026-09-11   |   금액은 모두 부가세 별도</v>
      </c>
    </row>
    <row r="6" spans="2:10" ht="31.95" customHeight="1">
      <c r="B6" s="86" t="s">
        <v>1</v>
      </c>
      <c r="C6" s="86" t="s">
        <v>2</v>
      </c>
      <c r="D6" s="86" t="s">
        <v>158</v>
      </c>
      <c r="E6" s="86" t="s">
        <v>7</v>
      </c>
      <c r="F6" s="86" t="s">
        <v>11</v>
      </c>
      <c r="G6" s="86" t="s">
        <v>159</v>
      </c>
      <c r="H6" s="86" t="s">
        <v>17</v>
      </c>
      <c r="I6" s="86" t="s">
        <v>20</v>
      </c>
      <c r="J6" s="86" t="s">
        <v>21</v>
      </c>
    </row>
    <row r="7" spans="2:10">
      <c r="B7" s="87" t="str">
        <f>IF(상품판매가산출!$B6="","",상품판매가산출!$B6)</f>
        <v>사각 원홀세면수전 크롬</v>
      </c>
      <c r="C7" s="87">
        <f>IF(상품판매가산출!$B6="","",상품판매가산출!$C6)</f>
        <v>0</v>
      </c>
      <c r="D7" s="88">
        <f>IF(상품판매가산출!$B6="","",상품판매가산출!$I6)</f>
        <v>29500</v>
      </c>
      <c r="E7" s="89">
        <f>IF(상품판매가산출!$B6="","",상품판매가산출!$H6)</f>
        <v>300</v>
      </c>
      <c r="F7" s="88">
        <f>IF(상품판매가산출!$B6="","",상품판매가산출!$L6)</f>
        <v>32311.062431544357</v>
      </c>
      <c r="G7" s="88">
        <f>IF(상품판매가산출!$B6="","",상품판매가산출!$O6)</f>
        <v>36300</v>
      </c>
      <c r="H7" s="90">
        <f>IF(상품판매가산출!$B6="","",상품판매가산출!$R6)</f>
        <v>0.10032782369146005</v>
      </c>
      <c r="I7" s="88">
        <f>IF(상품판매가산출!$B6="","",상품판매가산출!$U6)</f>
        <v>10890000</v>
      </c>
      <c r="J7" s="88">
        <f>IF(상품판매가산출!$B6="","",상품판매가산출!$V6)</f>
        <v>1092570</v>
      </c>
    </row>
    <row r="8" spans="2:10">
      <c r="B8" s="87" t="str">
        <f>IF(상품판매가산출!$B7="","",상품판매가산출!$B7)</f>
        <v>사각 원홀세면수전 브러시니켈</v>
      </c>
      <c r="C8" s="87">
        <f>IF(상품판매가산출!$B7="","",상품판매가산출!$C7)</f>
        <v>0</v>
      </c>
      <c r="D8" s="88" t="str">
        <f>IF(상품판매가산출!$B7="","",상품판매가산출!$I7)</f>
        <v/>
      </c>
      <c r="E8" s="89">
        <f>IF(상품판매가산출!$B7="","",상품판매가산출!$H7)</f>
        <v>300</v>
      </c>
      <c r="F8" s="88" t="str">
        <f>IF(상품판매가산출!$B7="","",상품판매가산출!$L7)</f>
        <v/>
      </c>
      <c r="G8" s="88" t="str">
        <f>IF(상품판매가산출!$B7="","",상품판매가산출!$O7)</f>
        <v/>
      </c>
      <c r="H8" s="90" t="str">
        <f>IF(상품판매가산출!$B7="","",상품판매가산출!$R7)</f>
        <v/>
      </c>
      <c r="I8" s="88" t="str">
        <f>IF(상품판매가산출!$B7="","",상품판매가산출!$U7)</f>
        <v/>
      </c>
      <c r="J8" s="88" t="str">
        <f>IF(상품판매가산출!$B7="","",상품판매가산출!$V7)</f>
        <v/>
      </c>
    </row>
    <row r="9" spans="2:10">
      <c r="B9" s="87" t="str">
        <f>IF(상품판매가산출!$B8="","",상품판매가산출!$B8)</f>
        <v>사각 욕조수전 크롬</v>
      </c>
      <c r="C9" s="87">
        <f>IF(상품판매가산출!$B8="","",상품판매가산출!$C8)</f>
        <v>0</v>
      </c>
      <c r="D9" s="88" t="str">
        <f>IF(상품판매가산출!$B8="","",상품판매가산출!$I8)</f>
        <v/>
      </c>
      <c r="E9" s="89">
        <f>IF(상품판매가산출!$B8="","",상품판매가산출!$H8)</f>
        <v>300</v>
      </c>
      <c r="F9" s="88" t="str">
        <f>IF(상품판매가산출!$B8="","",상품판매가산출!$L8)</f>
        <v/>
      </c>
      <c r="G9" s="88" t="str">
        <f>IF(상품판매가산출!$B8="","",상품판매가산출!$O8)</f>
        <v/>
      </c>
      <c r="H9" s="90" t="str">
        <f>IF(상품판매가산출!$B8="","",상품판매가산출!$R8)</f>
        <v/>
      </c>
      <c r="I9" s="88" t="str">
        <f>IF(상품판매가산출!$B8="","",상품판매가산출!$U8)</f>
        <v/>
      </c>
      <c r="J9" s="88" t="str">
        <f>IF(상품판매가산출!$B8="","",상품판매가산출!$V8)</f>
        <v/>
      </c>
    </row>
    <row r="10" spans="2:10">
      <c r="B10" s="87" t="str">
        <f>IF(상품판매가산출!$B9="","",상품판매가산출!$B9)</f>
        <v>사각 욕조수전 브러시니켈</v>
      </c>
      <c r="C10" s="87">
        <f>IF(상품판매가산출!$B9="","",상품판매가산출!$C9)</f>
        <v>0</v>
      </c>
      <c r="D10" s="88" t="str">
        <f>IF(상품판매가산출!$B9="","",상품판매가산출!$I9)</f>
        <v/>
      </c>
      <c r="E10" s="89">
        <f>IF(상품판매가산출!$B9="","",상품판매가산출!$H9)</f>
        <v>300</v>
      </c>
      <c r="F10" s="88" t="str">
        <f>IF(상품판매가산출!$B9="","",상품판매가산출!$L9)</f>
        <v/>
      </c>
      <c r="G10" s="88" t="str">
        <f>IF(상품판매가산출!$B9="","",상품판매가산출!$O9)</f>
        <v/>
      </c>
      <c r="H10" s="90" t="str">
        <f>IF(상품판매가산출!$B9="","",상품판매가산출!$R9)</f>
        <v/>
      </c>
      <c r="I10" s="88" t="str">
        <f>IF(상품판매가산출!$B9="","",상품판매가산출!$U9)</f>
        <v/>
      </c>
      <c r="J10" s="88" t="str">
        <f>IF(상품판매가산출!$B9="","",상품판매가산출!$V9)</f>
        <v/>
      </c>
    </row>
    <row r="11" spans="2:10">
      <c r="B11" s="87" t="str">
        <f>IF(상품판매가산출!$B10="","",상품판매가산출!$B10)</f>
        <v>원형 원홀세면수전 크롬</v>
      </c>
      <c r="C11" s="87">
        <f>IF(상품판매가산출!$B10="","",상품판매가산출!$C10)</f>
        <v>0</v>
      </c>
      <c r="D11" s="88" t="str">
        <f>IF(상품판매가산출!$B10="","",상품판매가산출!$I10)</f>
        <v/>
      </c>
      <c r="E11" s="89">
        <f>IF(상품판매가산출!$B10="","",상품판매가산출!$H10)</f>
        <v>300</v>
      </c>
      <c r="F11" s="88" t="str">
        <f>IF(상품판매가산출!$B10="","",상품판매가산출!$L10)</f>
        <v/>
      </c>
      <c r="G11" s="88" t="str">
        <f>IF(상품판매가산출!$B10="","",상품판매가산출!$O10)</f>
        <v/>
      </c>
      <c r="H11" s="90" t="str">
        <f>IF(상품판매가산출!$B10="","",상품판매가산출!$R10)</f>
        <v/>
      </c>
      <c r="I11" s="88" t="str">
        <f>IF(상품판매가산출!$B10="","",상품판매가산출!$U10)</f>
        <v/>
      </c>
      <c r="J11" s="88" t="str">
        <f>IF(상품판매가산출!$B10="","",상품판매가산출!$V10)</f>
        <v/>
      </c>
    </row>
    <row r="12" spans="2:10">
      <c r="B12" s="87" t="str">
        <f>IF(상품판매가산출!$B11="","",상품판매가산출!$B11)</f>
        <v>원홀 원홀세면수전 브러시니켈</v>
      </c>
      <c r="C12" s="87">
        <f>IF(상품판매가산출!$B11="","",상품판매가산출!$C11)</f>
        <v>0</v>
      </c>
      <c r="D12" s="88" t="str">
        <f>IF(상품판매가산출!$B11="","",상품판매가산출!$I11)</f>
        <v/>
      </c>
      <c r="E12" s="89">
        <f>IF(상품판매가산출!$B11="","",상품판매가산출!$H11)</f>
        <v>300</v>
      </c>
      <c r="F12" s="88" t="str">
        <f>IF(상품판매가산출!$B11="","",상품판매가산출!$L11)</f>
        <v/>
      </c>
      <c r="G12" s="88" t="str">
        <f>IF(상품판매가산출!$B11="","",상품판매가산출!$O11)</f>
        <v/>
      </c>
      <c r="H12" s="90" t="str">
        <f>IF(상품판매가산출!$B11="","",상품판매가산출!$R11)</f>
        <v/>
      </c>
      <c r="I12" s="88" t="str">
        <f>IF(상품판매가산출!$B11="","",상품판매가산출!$U11)</f>
        <v/>
      </c>
      <c r="J12" s="88" t="str">
        <f>IF(상품판매가산출!$B11="","",상품판매가산출!$V11)</f>
        <v/>
      </c>
    </row>
    <row r="13" spans="2:10">
      <c r="B13" s="87" t="str">
        <f>IF(상품판매가산출!$B12="","",상품판매가산출!$B12)</f>
        <v>원형 욕조수전 크롬</v>
      </c>
      <c r="C13" s="87">
        <f>IF(상품판매가산출!$B12="","",상품판매가산출!$C12)</f>
        <v>0</v>
      </c>
      <c r="D13" s="88" t="str">
        <f>IF(상품판매가산출!$B12="","",상품판매가산출!$I12)</f>
        <v/>
      </c>
      <c r="E13" s="89">
        <f>IF(상품판매가산출!$B12="","",상품판매가산출!$H12)</f>
        <v>300</v>
      </c>
      <c r="F13" s="88" t="str">
        <f>IF(상품판매가산출!$B12="","",상품판매가산출!$L12)</f>
        <v/>
      </c>
      <c r="G13" s="88" t="str">
        <f>IF(상품판매가산출!$B12="","",상품판매가산출!$O12)</f>
        <v/>
      </c>
      <c r="H13" s="90" t="str">
        <f>IF(상품판매가산출!$B12="","",상품판매가산출!$R12)</f>
        <v/>
      </c>
      <c r="I13" s="88" t="str">
        <f>IF(상품판매가산출!$B12="","",상품판매가산출!$U12)</f>
        <v/>
      </c>
      <c r="J13" s="88" t="str">
        <f>IF(상품판매가산출!$B12="","",상품판매가산출!$V12)</f>
        <v/>
      </c>
    </row>
    <row r="14" spans="2:10">
      <c r="B14" s="87"/>
      <c r="C14" s="87"/>
      <c r="D14" s="88"/>
      <c r="E14" s="89"/>
      <c r="F14" s="88"/>
      <c r="G14" s="88"/>
      <c r="H14" s="90"/>
      <c r="I14" s="88"/>
      <c r="J14" s="88"/>
    </row>
    <row r="15" spans="2:10">
      <c r="B15" s="87"/>
      <c r="C15" s="87"/>
      <c r="D15" s="88"/>
      <c r="E15" s="89"/>
      <c r="F15" s="88"/>
      <c r="G15" s="88"/>
      <c r="H15" s="90"/>
      <c r="I15" s="88"/>
      <c r="J15" s="88"/>
    </row>
    <row r="16" spans="2:10">
      <c r="B16" s="87"/>
      <c r="C16" s="87"/>
      <c r="D16" s="88"/>
      <c r="E16" s="89"/>
      <c r="F16" s="88"/>
      <c r="G16" s="88"/>
      <c r="H16" s="90"/>
      <c r="I16" s="88"/>
      <c r="J16" s="88"/>
    </row>
    <row r="17" spans="2:10">
      <c r="B17" s="87" t="str">
        <f>IF(상품판매가산출!$B25="","",상품판매가산출!$B25)</f>
        <v/>
      </c>
      <c r="C17" s="87" t="str">
        <f>IF(상품판매가산출!$B25="","",상품판매가산출!$C25)</f>
        <v/>
      </c>
      <c r="D17" s="88" t="str">
        <f>IF(상품판매가산출!$B25="","",상품판매가산출!$I25)</f>
        <v/>
      </c>
      <c r="E17" s="89" t="str">
        <f>IF(상품판매가산출!$B25="","",상품판매가산출!$H25)</f>
        <v/>
      </c>
      <c r="F17" s="88" t="str">
        <f>IF(상품판매가산출!$B25="","",상품판매가산출!$L25)</f>
        <v/>
      </c>
      <c r="G17" s="88" t="str">
        <f>IF(상품판매가산출!$B25="","",상품판매가산출!$O25)</f>
        <v/>
      </c>
      <c r="H17" s="90" t="str">
        <f>IF(상품판매가산출!$B25="","",상품판매가산출!$R25)</f>
        <v/>
      </c>
      <c r="I17" s="88" t="str">
        <f>IF(상품판매가산출!$B25="","",상품판매가산출!$U25)</f>
        <v/>
      </c>
      <c r="J17" s="88" t="str">
        <f>IF(상품판매가산출!$B25="","",상품판매가산출!$V25)</f>
        <v/>
      </c>
    </row>
    <row r="18" spans="2:10">
      <c r="B18" s="91" t="s">
        <v>22</v>
      </c>
      <c r="C18" s="92"/>
      <c r="D18" s="92"/>
      <c r="E18" s="93">
        <f>SUM(E7:E17)</f>
        <v>2100</v>
      </c>
      <c r="F18" s="92"/>
      <c r="G18" s="92"/>
      <c r="H18" s="94">
        <f>IFERROR(SUM(J7:J17)/SUM(I7:I17),0)</f>
        <v>0.10032782369146005</v>
      </c>
      <c r="I18" s="95">
        <f>SUM(I7:I17)</f>
        <v>10890000</v>
      </c>
      <c r="J18" s="95">
        <f>SUM(J7:J17)</f>
        <v>1092570</v>
      </c>
    </row>
    <row r="20" spans="2:10">
      <c r="B20" s="82" t="s">
        <v>160</v>
      </c>
    </row>
    <row r="21" spans="2:10">
      <c r="B21" s="82" t="s">
        <v>161</v>
      </c>
    </row>
    <row r="22" spans="2:10">
      <c r="B22" s="82" t="s">
        <v>162</v>
      </c>
    </row>
    <row r="23" spans="2:10">
      <c r="B23" s="82" t="s">
        <v>163</v>
      </c>
    </row>
    <row r="24" spans="2:10">
      <c r="B24" s="83" t="s">
        <v>164</v>
      </c>
    </row>
  </sheetData>
  <phoneticPr fontId="11" type="noConversion"/>
  <conditionalFormatting sqref="G7:G17">
    <cfRule type="expression" dxfId="0" priority="1">
      <formula>AND(N($G7)&gt;0,N($F7)&gt;0,$G7&lt;$F7)</formula>
    </cfRule>
  </conditionalFormatting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62"/>
  <sheetViews>
    <sheetView showGridLines="0" workbookViewId="0">
      <selection activeCell="E45" sqref="E45"/>
    </sheetView>
  </sheetViews>
  <sheetFormatPr defaultRowHeight="17.399999999999999"/>
  <cols>
    <col min="1" max="1" width="3.69921875" customWidth="1"/>
    <col min="2" max="2" width="104" customWidth="1"/>
  </cols>
  <sheetData>
    <row r="1" spans="2:2" ht="15" customHeight="1"/>
    <row r="2" spans="2:2" ht="21" customHeight="1">
      <c r="B2" s="1" t="s">
        <v>45</v>
      </c>
    </row>
    <row r="3" spans="2:2" ht="9" customHeight="1" thickBot="1">
      <c r="B3" s="2"/>
    </row>
    <row r="4" spans="2:2">
      <c r="B4" s="9" t="s">
        <v>46</v>
      </c>
    </row>
    <row r="5" spans="2:2">
      <c r="B5" s="6" t="s">
        <v>47</v>
      </c>
    </row>
    <row r="6" spans="2:2">
      <c r="B6" s="6" t="s">
        <v>48</v>
      </c>
    </row>
    <row r="7" spans="2:2">
      <c r="B7" s="6" t="s">
        <v>49</v>
      </c>
    </row>
    <row r="8" spans="2:2">
      <c r="B8" s="6" t="s">
        <v>50</v>
      </c>
    </row>
    <row r="9" spans="2:2">
      <c r="B9" s="6" t="s">
        <v>51</v>
      </c>
    </row>
    <row r="10" spans="2:2">
      <c r="B10" s="6"/>
    </row>
    <row r="11" spans="2:2">
      <c r="B11" s="10" t="s">
        <v>52</v>
      </c>
    </row>
    <row r="12" spans="2:2">
      <c r="B12" s="6" t="s">
        <v>53</v>
      </c>
    </row>
    <row r="13" spans="2:2">
      <c r="B13" s="6" t="s">
        <v>54</v>
      </c>
    </row>
    <row r="14" spans="2:2">
      <c r="B14" s="6" t="s">
        <v>55</v>
      </c>
    </row>
    <row r="15" spans="2:2">
      <c r="B15" s="6" t="s">
        <v>56</v>
      </c>
    </row>
    <row r="16" spans="2:2">
      <c r="B16" s="7" t="s">
        <v>57</v>
      </c>
    </row>
    <row r="17" spans="2:2">
      <c r="B17" s="7" t="s">
        <v>58</v>
      </c>
    </row>
    <row r="18" spans="2:2">
      <c r="B18" s="6"/>
    </row>
    <row r="19" spans="2:2">
      <c r="B19" s="10" t="s">
        <v>59</v>
      </c>
    </row>
    <row r="20" spans="2:2">
      <c r="B20" s="6" t="s">
        <v>60</v>
      </c>
    </row>
    <row r="21" spans="2:2">
      <c r="B21" s="6" t="s">
        <v>61</v>
      </c>
    </row>
    <row r="22" spans="2:2">
      <c r="B22" s="6" t="s">
        <v>62</v>
      </c>
    </row>
    <row r="23" spans="2:2">
      <c r="B23" s="6" t="s">
        <v>63</v>
      </c>
    </row>
    <row r="24" spans="2:2">
      <c r="B24" s="6" t="s">
        <v>64</v>
      </c>
    </row>
    <row r="25" spans="2:2">
      <c r="B25" s="6"/>
    </row>
    <row r="26" spans="2:2">
      <c r="B26" s="10" t="s">
        <v>65</v>
      </c>
    </row>
    <row r="27" spans="2:2">
      <c r="B27" s="6" t="s">
        <v>66</v>
      </c>
    </row>
    <row r="28" spans="2:2">
      <c r="B28" s="6" t="s">
        <v>67</v>
      </c>
    </row>
    <row r="29" spans="2:2">
      <c r="B29" s="6" t="s">
        <v>68</v>
      </c>
    </row>
    <row r="30" spans="2:2">
      <c r="B30" s="6"/>
    </row>
    <row r="31" spans="2:2">
      <c r="B31" s="10" t="s">
        <v>69</v>
      </c>
    </row>
    <row r="32" spans="2:2">
      <c r="B32" s="6" t="s">
        <v>70</v>
      </c>
    </row>
    <row r="33" spans="2:2">
      <c r="B33" s="6"/>
    </row>
    <row r="34" spans="2:2">
      <c r="B34" s="6" t="s">
        <v>71</v>
      </c>
    </row>
    <row r="35" spans="2:2">
      <c r="B35" s="6" t="s">
        <v>72</v>
      </c>
    </row>
    <row r="36" spans="2:2">
      <c r="B36" s="6" t="s">
        <v>73</v>
      </c>
    </row>
    <row r="37" spans="2:2">
      <c r="B37" s="6" t="s">
        <v>74</v>
      </c>
    </row>
    <row r="38" spans="2:2">
      <c r="B38" s="6" t="s">
        <v>75</v>
      </c>
    </row>
    <row r="39" spans="2:2">
      <c r="B39" s="6" t="s">
        <v>76</v>
      </c>
    </row>
    <row r="40" spans="2:2">
      <c r="B40" s="6" t="s">
        <v>77</v>
      </c>
    </row>
    <row r="41" spans="2:2">
      <c r="B41" s="6" t="s">
        <v>78</v>
      </c>
    </row>
    <row r="42" spans="2:2">
      <c r="B42" s="6" t="s">
        <v>79</v>
      </c>
    </row>
    <row r="43" spans="2:2">
      <c r="B43" s="6" t="s">
        <v>80</v>
      </c>
    </row>
    <row r="44" spans="2:2">
      <c r="B44" s="6" t="s">
        <v>81</v>
      </c>
    </row>
    <row r="45" spans="2:2">
      <c r="B45" s="6" t="s">
        <v>82</v>
      </c>
    </row>
    <row r="46" spans="2:2">
      <c r="B46" s="6"/>
    </row>
    <row r="47" spans="2:2">
      <c r="B47" s="6" t="s">
        <v>83</v>
      </c>
    </row>
    <row r="48" spans="2:2">
      <c r="B48" s="6" t="s">
        <v>84</v>
      </c>
    </row>
    <row r="49" spans="2:2">
      <c r="B49" s="6" t="s">
        <v>85</v>
      </c>
    </row>
    <row r="50" spans="2:2">
      <c r="B50" s="6" t="s">
        <v>86</v>
      </c>
    </row>
    <row r="51" spans="2:2">
      <c r="B51" s="6"/>
    </row>
    <row r="52" spans="2:2">
      <c r="B52" s="10" t="s">
        <v>87</v>
      </c>
    </row>
    <row r="53" spans="2:2">
      <c r="B53" s="6" t="s">
        <v>88</v>
      </c>
    </row>
    <row r="54" spans="2:2">
      <c r="B54" s="6" t="s">
        <v>89</v>
      </c>
    </row>
    <row r="55" spans="2:2">
      <c r="B55" s="6"/>
    </row>
    <row r="56" spans="2:2">
      <c r="B56" s="10" t="s">
        <v>90</v>
      </c>
    </row>
    <row r="57" spans="2:2">
      <c r="B57" s="6" t="s">
        <v>91</v>
      </c>
    </row>
    <row r="58" spans="2:2">
      <c r="B58" s="6" t="s">
        <v>92</v>
      </c>
    </row>
    <row r="59" spans="2:2">
      <c r="B59" s="6" t="s">
        <v>93</v>
      </c>
    </row>
    <row r="60" spans="2:2">
      <c r="B60" s="6" t="s">
        <v>94</v>
      </c>
    </row>
    <row r="61" spans="2:2">
      <c r="B61" s="6" t="s">
        <v>95</v>
      </c>
    </row>
    <row r="62" spans="2:2" ht="18" customHeight="1" thickBot="1">
      <c r="B62" s="8" t="s">
        <v>96</v>
      </c>
    </row>
  </sheetData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33"/>
  <sheetViews>
    <sheetView showGridLines="0" workbookViewId="0">
      <selection activeCell="C20" sqref="C20"/>
    </sheetView>
  </sheetViews>
  <sheetFormatPr defaultRowHeight="17.399999999999999"/>
  <cols>
    <col min="1" max="1" width="3.69921875" customWidth="1"/>
    <col min="2" max="2" width="18.296875" customWidth="1"/>
    <col min="3" max="3" width="12.69921875" customWidth="1"/>
    <col min="4" max="4" width="81.3984375" customWidth="1"/>
  </cols>
  <sheetData>
    <row r="1" spans="2:4" ht="15" customHeight="1"/>
    <row r="2" spans="2:4" ht="21" customHeight="1">
      <c r="B2" s="1" t="s">
        <v>97</v>
      </c>
    </row>
    <row r="3" spans="2:4">
      <c r="B3" s="4" t="s">
        <v>98</v>
      </c>
    </row>
    <row r="4" spans="2:4" ht="9.6" customHeight="1" thickBot="1"/>
    <row r="5" spans="2:4">
      <c r="B5" s="42" t="s">
        <v>99</v>
      </c>
      <c r="C5" s="11"/>
      <c r="D5" s="12"/>
    </row>
    <row r="6" spans="2:4">
      <c r="B6" s="13" t="s">
        <v>100</v>
      </c>
      <c r="C6" s="30" t="s">
        <v>101</v>
      </c>
      <c r="D6" s="26" t="s">
        <v>102</v>
      </c>
    </row>
    <row r="7" spans="2:4">
      <c r="B7" s="13" t="s">
        <v>103</v>
      </c>
      <c r="C7" s="31">
        <f ca="1">EOMONTH(TODAY(),IF($C$6="당월 평균",0,-1))</f>
        <v>46265</v>
      </c>
      <c r="D7" s="26" t="s">
        <v>104</v>
      </c>
    </row>
    <row r="8" spans="2:4">
      <c r="B8" s="13" t="s">
        <v>105</v>
      </c>
      <c r="C8" s="32" t="str">
        <f ca="1">IF($C$6="직접 입력",$C$9,RIGHT("0000"&amp;YEAR($C$7),4)&amp;"-"&amp;RIGHT("00"&amp;MONTH($C$7),2))</f>
        <v>2026-08</v>
      </c>
      <c r="D8" s="26" t="s">
        <v>106</v>
      </c>
    </row>
    <row r="9" spans="2:4">
      <c r="B9" s="13" t="s">
        <v>107</v>
      </c>
      <c r="C9" s="33" t="s">
        <v>108</v>
      </c>
      <c r="D9" s="26" t="s">
        <v>109</v>
      </c>
    </row>
    <row r="10" spans="2:4">
      <c r="B10" s="34"/>
      <c r="C10" s="35"/>
      <c r="D10" s="27"/>
    </row>
    <row r="11" spans="2:4">
      <c r="B11" s="13" t="s">
        <v>110</v>
      </c>
      <c r="C11" s="36">
        <f ca="1">IF($C$6="직접 입력",$C$13,IFERROR(INDEX(월평균환율!$C$6:$C$101,MATCH($C$8,월평균환율!$B$6:$B$101,0)),$C$13))</f>
        <v>1406.3</v>
      </c>
      <c r="D11" s="26" t="s">
        <v>111</v>
      </c>
    </row>
    <row r="12" spans="2:4">
      <c r="B12" s="13" t="s">
        <v>112</v>
      </c>
      <c r="C12" s="36">
        <f ca="1">IF($C$6="직접 입력",$C$14,IFERROR(INDEX(월평균환율!$D$6:$D$101,MATCH($C$8,월평균환율!$B$6:$B$101,0)),$C$14))</f>
        <v>208.69</v>
      </c>
      <c r="D12" s="27"/>
    </row>
    <row r="13" spans="2:4">
      <c r="B13" s="13" t="s">
        <v>113</v>
      </c>
      <c r="C13" s="37">
        <v>1380</v>
      </c>
      <c r="D13" s="97" t="s">
        <v>114</v>
      </c>
    </row>
    <row r="14" spans="2:4">
      <c r="B14" s="13" t="s">
        <v>115</v>
      </c>
      <c r="C14" s="37">
        <v>190</v>
      </c>
      <c r="D14" s="97" t="s">
        <v>114</v>
      </c>
    </row>
    <row r="15" spans="2:4">
      <c r="B15" s="34"/>
      <c r="C15" s="35"/>
      <c r="D15" s="27"/>
    </row>
    <row r="16" spans="2:4">
      <c r="B16" s="38" t="s">
        <v>116</v>
      </c>
      <c r="C16" s="39"/>
      <c r="D16" s="28"/>
    </row>
    <row r="17" spans="2:4">
      <c r="B17" s="13" t="s">
        <v>117</v>
      </c>
      <c r="C17" s="40">
        <v>0.1</v>
      </c>
      <c r="D17" s="26" t="s">
        <v>118</v>
      </c>
    </row>
    <row r="18" spans="2:4">
      <c r="B18" s="13" t="s">
        <v>33</v>
      </c>
      <c r="C18" s="40">
        <v>0.3</v>
      </c>
      <c r="D18" s="26" t="s">
        <v>119</v>
      </c>
    </row>
    <row r="19" spans="2:4">
      <c r="B19" s="13" t="s">
        <v>120</v>
      </c>
      <c r="C19" s="30" t="s">
        <v>121</v>
      </c>
      <c r="D19" s="26" t="s">
        <v>122</v>
      </c>
    </row>
    <row r="20" spans="2:4">
      <c r="B20" s="13" t="s">
        <v>123</v>
      </c>
      <c r="C20" s="41">
        <v>100</v>
      </c>
      <c r="D20" s="26" t="s">
        <v>124</v>
      </c>
    </row>
    <row r="21" spans="2:4">
      <c r="B21" s="34"/>
      <c r="C21" s="35"/>
      <c r="D21" s="27"/>
    </row>
    <row r="22" spans="2:4">
      <c r="B22" s="38" t="s">
        <v>125</v>
      </c>
      <c r="C22" s="39"/>
      <c r="D22" s="28"/>
    </row>
    <row r="23" spans="2:4">
      <c r="B23" s="13" t="s">
        <v>126</v>
      </c>
      <c r="C23" s="40">
        <v>0</v>
      </c>
      <c r="D23" s="26" t="s">
        <v>127</v>
      </c>
    </row>
    <row r="24" spans="2:4">
      <c r="B24" s="13" t="s">
        <v>9</v>
      </c>
      <c r="C24" s="40">
        <v>8.6999999999999994E-2</v>
      </c>
      <c r="D24" s="26" t="s">
        <v>128</v>
      </c>
    </row>
    <row r="25" spans="2:4">
      <c r="B25" s="13" t="s">
        <v>10</v>
      </c>
      <c r="C25" s="40">
        <v>0.1</v>
      </c>
      <c r="D25" s="26" t="s">
        <v>129</v>
      </c>
    </row>
    <row r="26" spans="2:4">
      <c r="B26" s="13" t="s">
        <v>130</v>
      </c>
      <c r="C26" s="30" t="s">
        <v>131</v>
      </c>
      <c r="D26" s="26" t="s">
        <v>132</v>
      </c>
    </row>
    <row r="27" spans="2:4">
      <c r="B27" s="13" t="s">
        <v>133</v>
      </c>
      <c r="C27" s="41">
        <v>100</v>
      </c>
      <c r="D27" s="26" t="s">
        <v>134</v>
      </c>
    </row>
    <row r="28" spans="2:4">
      <c r="B28" s="14"/>
      <c r="D28" s="15"/>
    </row>
    <row r="29" spans="2:4">
      <c r="B29" s="38" t="s">
        <v>135</v>
      </c>
      <c r="C29" s="17"/>
      <c r="D29" s="16"/>
    </row>
    <row r="30" spans="2:4">
      <c r="B30" s="18" t="s">
        <v>138</v>
      </c>
      <c r="C30" s="25" t="s">
        <v>139</v>
      </c>
      <c r="D30" s="15"/>
    </row>
    <row r="31" spans="2:4">
      <c r="B31" s="13" t="s">
        <v>136</v>
      </c>
      <c r="C31" s="25" t="s">
        <v>137</v>
      </c>
      <c r="D31" s="15"/>
    </row>
    <row r="32" spans="2:4">
      <c r="B32" s="13" t="s">
        <v>140</v>
      </c>
      <c r="C32" s="96" t="s">
        <v>141</v>
      </c>
      <c r="D32" s="15"/>
    </row>
    <row r="33" spans="2:4" ht="18" customHeight="1" thickBot="1">
      <c r="B33" s="43" t="s">
        <v>142</v>
      </c>
      <c r="C33" s="98" t="s">
        <v>143</v>
      </c>
      <c r="D33" s="19"/>
    </row>
  </sheetData>
  <phoneticPr fontId="11" type="noConversion"/>
  <dataValidations count="3">
    <dataValidation type="list" sqref="C6" xr:uid="{00000000-0002-0000-0300-000000000000}">
      <formula1>"전월 평균,당월 평균,직접 입력"</formula1>
    </dataValidation>
    <dataValidation type="list" sqref="C19" xr:uid="{00000000-0002-0000-0300-000001000000}">
      <formula1>"원가 가산,판매가 마진"</formula1>
    </dataValidation>
    <dataValidation type="list" sqref="C26" xr:uid="{00000000-0002-0000-0300-000002000000}">
      <formula1>"매출 대비,원가 가산"</formula1>
    </dataValidation>
  </dataValidation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31"/>
  <sheetViews>
    <sheetView showGridLines="0" zoomScaleNormal="100" workbookViewId="0">
      <selection activeCell="J22" sqref="J22"/>
    </sheetView>
  </sheetViews>
  <sheetFormatPr defaultRowHeight="17.399999999999999"/>
  <cols>
    <col min="1" max="1" width="3.69921875" customWidth="1"/>
    <col min="2" max="2" width="10.8984375" customWidth="1"/>
    <col min="3" max="4" width="12" customWidth="1"/>
    <col min="5" max="5" width="82.5" customWidth="1"/>
  </cols>
  <sheetData>
    <row r="1" spans="2:5" ht="15" customHeight="1"/>
    <row r="2" spans="2:5" ht="21" customHeight="1">
      <c r="B2" s="1" t="s">
        <v>144</v>
      </c>
    </row>
    <row r="3" spans="2:5">
      <c r="B3" s="4" t="s">
        <v>145</v>
      </c>
    </row>
    <row r="4" spans="2:5" ht="18" customHeight="1" thickBot="1"/>
    <row r="5" spans="2:5">
      <c r="B5" s="20" t="s">
        <v>146</v>
      </c>
      <c r="C5" s="21" t="s">
        <v>147</v>
      </c>
      <c r="D5" s="21" t="s">
        <v>148</v>
      </c>
      <c r="E5" s="24"/>
    </row>
    <row r="6" spans="2:5">
      <c r="B6" s="29" t="s">
        <v>168</v>
      </c>
      <c r="C6" s="80">
        <v>1391.83</v>
      </c>
      <c r="D6" s="80">
        <v>195.36</v>
      </c>
      <c r="E6" s="15"/>
    </row>
    <row r="7" spans="2:5">
      <c r="B7" s="29" t="s">
        <v>167</v>
      </c>
      <c r="C7" s="80">
        <v>1423.36</v>
      </c>
      <c r="D7" s="80">
        <v>199.82</v>
      </c>
      <c r="E7" s="15"/>
    </row>
    <row r="8" spans="2:5">
      <c r="B8" s="29" t="s">
        <v>166</v>
      </c>
      <c r="C8" s="80">
        <v>1457.77</v>
      </c>
      <c r="D8" s="80">
        <v>205.04</v>
      </c>
      <c r="E8" s="15"/>
    </row>
    <row r="9" spans="2:5">
      <c r="B9" s="29" t="s">
        <v>165</v>
      </c>
      <c r="C9" s="80">
        <v>1467.4</v>
      </c>
      <c r="D9" s="80">
        <v>208.26</v>
      </c>
      <c r="E9" s="15"/>
    </row>
    <row r="10" spans="2:5">
      <c r="B10" s="29" t="s">
        <v>151</v>
      </c>
      <c r="C10" s="80">
        <v>1456.51</v>
      </c>
      <c r="D10" s="80">
        <v>209.08</v>
      </c>
      <c r="E10" s="15"/>
    </row>
    <row r="11" spans="2:5">
      <c r="B11" s="29" t="s">
        <v>150</v>
      </c>
      <c r="C11" s="80">
        <v>1449.32</v>
      </c>
      <c r="D11" s="80">
        <v>209.73</v>
      </c>
      <c r="E11" s="15"/>
    </row>
    <row r="12" spans="2:5">
      <c r="B12" s="29" t="s">
        <v>149</v>
      </c>
      <c r="C12" s="80">
        <v>1486.64</v>
      </c>
      <c r="D12" s="80">
        <v>215.65</v>
      </c>
      <c r="E12" s="15"/>
    </row>
    <row r="13" spans="2:5">
      <c r="B13" s="29" t="s">
        <v>152</v>
      </c>
      <c r="C13" s="80">
        <v>1487.39</v>
      </c>
      <c r="D13" s="80">
        <v>217.41</v>
      </c>
      <c r="E13" s="15"/>
    </row>
    <row r="14" spans="2:5">
      <c r="B14" s="29" t="s">
        <v>153</v>
      </c>
      <c r="C14" s="80">
        <v>1490.11</v>
      </c>
      <c r="D14" s="80">
        <v>219.11</v>
      </c>
      <c r="E14" s="15"/>
    </row>
    <row r="15" spans="2:5">
      <c r="B15" s="29" t="s">
        <v>154</v>
      </c>
      <c r="C15" s="80">
        <v>1527.3</v>
      </c>
      <c r="D15" s="80">
        <v>225.51</v>
      </c>
      <c r="E15" s="15"/>
    </row>
    <row r="16" spans="2:5">
      <c r="B16" s="29" t="s">
        <v>155</v>
      </c>
      <c r="C16" s="80">
        <v>1497.43</v>
      </c>
      <c r="D16" s="80">
        <v>220.94</v>
      </c>
      <c r="E16" s="15"/>
    </row>
    <row r="17" spans="2:5">
      <c r="B17" s="29" t="s">
        <v>108</v>
      </c>
      <c r="C17" s="80">
        <v>1406.3</v>
      </c>
      <c r="D17" s="80">
        <v>208.69</v>
      </c>
      <c r="E17" s="15"/>
    </row>
    <row r="18" spans="2:5">
      <c r="B18" s="22"/>
      <c r="C18" s="79"/>
      <c r="D18" s="79"/>
      <c r="E18" s="15"/>
    </row>
    <row r="19" spans="2:5">
      <c r="B19" s="22"/>
      <c r="C19" s="79"/>
      <c r="D19" s="79"/>
      <c r="E19" s="15"/>
    </row>
    <row r="20" spans="2:5">
      <c r="B20" s="22"/>
      <c r="C20" s="79"/>
      <c r="D20" s="79"/>
      <c r="E20" s="15"/>
    </row>
    <row r="21" spans="2:5">
      <c r="B21" s="22"/>
      <c r="C21" s="79"/>
      <c r="D21" s="79"/>
      <c r="E21" s="15"/>
    </row>
    <row r="22" spans="2:5">
      <c r="B22" s="22"/>
      <c r="C22" s="79"/>
      <c r="D22" s="79"/>
      <c r="E22" s="15"/>
    </row>
    <row r="23" spans="2:5">
      <c r="B23" s="22"/>
      <c r="C23" s="79"/>
      <c r="D23" s="79"/>
      <c r="E23" s="15"/>
    </row>
    <row r="24" spans="2:5">
      <c r="B24" s="22"/>
      <c r="C24" s="79"/>
      <c r="D24" s="79"/>
      <c r="E24" s="15"/>
    </row>
    <row r="25" spans="2:5">
      <c r="B25" s="22"/>
      <c r="C25" s="79"/>
      <c r="D25" s="79"/>
      <c r="E25" s="15"/>
    </row>
    <row r="26" spans="2:5">
      <c r="B26" s="22"/>
      <c r="C26" s="79"/>
      <c r="D26" s="79"/>
      <c r="E26" s="15"/>
    </row>
    <row r="27" spans="2:5">
      <c r="B27" s="22"/>
      <c r="C27" s="79"/>
      <c r="D27" s="79"/>
      <c r="E27" s="15"/>
    </row>
    <row r="28" spans="2:5">
      <c r="B28" s="22"/>
      <c r="C28" s="79"/>
      <c r="D28" s="79"/>
      <c r="E28" s="15"/>
    </row>
    <row r="29" spans="2:5" ht="18" customHeight="1" thickBot="1">
      <c r="B29" s="23"/>
      <c r="C29" s="78"/>
      <c r="D29" s="78"/>
      <c r="E29" s="19"/>
    </row>
    <row r="31" spans="2:5">
      <c r="B31" s="3" t="s">
        <v>156</v>
      </c>
    </row>
  </sheetData>
  <phoneticPr fontId="1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2</vt:i4>
      </vt:variant>
    </vt:vector>
  </HeadingPairs>
  <TitlesOfParts>
    <vt:vector size="9" baseType="lpstr">
      <vt:lpstr>자재판매가산출</vt:lpstr>
      <vt:lpstr>상품판매가산출</vt:lpstr>
      <vt:lpstr>Sheet1</vt:lpstr>
      <vt:lpstr>유통가 보고</vt:lpstr>
      <vt:lpstr>사용안내</vt:lpstr>
      <vt:lpstr>설정</vt:lpstr>
      <vt:lpstr>월평균환율</vt:lpstr>
      <vt:lpstr>'유통가 보고'!Print_Area</vt:lpstr>
      <vt:lpstr>'유통가 보고'!Print_Titles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오정민</cp:lastModifiedBy>
  <dcterms:created xsi:type="dcterms:W3CDTF">2026-09-08T05:14:17Z</dcterms:created>
  <dcterms:modified xsi:type="dcterms:W3CDTF">2026-09-11T04:11:05Z</dcterms:modified>
</cp:coreProperties>
</file>