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안내" sheetId="1" state="visible" r:id="rId1"/>
    <sheet name="설정" sheetId="2" state="visible" r:id="rId2"/>
    <sheet name="월평균환율" sheetId="3" state="visible" r:id="rId3"/>
    <sheet name="판매가산출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#,##0;(#,##0);-"/>
  </numFmts>
  <fonts count="10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color rgb="00808080"/>
      <sz val="9"/>
    </font>
    <font>
      <name val="맑은 고딕"/>
      <b val="1"/>
      <color rgb="0014606B"/>
      <sz val="10"/>
    </font>
    <font>
      <name val="맑은 고딕"/>
      <sz val="10"/>
    </font>
    <font>
      <name val="맑은 고딕"/>
      <color rgb="000000FF"/>
      <sz val="10"/>
    </font>
    <font>
      <name val="맑은 고딕"/>
      <color rgb="00000000"/>
      <sz val="10"/>
    </font>
    <font>
      <name val="맑은 고딕"/>
      <b val="1"/>
      <sz val="10"/>
    </font>
    <font>
      <name val="맑은 고딕"/>
      <color rgb="00008000"/>
      <sz val="10"/>
    </font>
    <font>
      <name val="맑은 고딕"/>
      <color rgb="00C00000"/>
      <sz val="9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8EFEE"/>
      </patternFill>
    </fill>
    <fill>
      <patternFill patternType="solid">
        <fgColor rgb="00FFF6D5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9" fillId="0" borderId="0" pivotButton="0" quotePrefix="0" xfId="0"/>
    <xf numFmtId="0" fontId="2" fillId="0" borderId="0" pivotButton="0" quotePrefix="0" xfId="0"/>
    <xf numFmtId="0" fontId="5" fillId="2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49" fontId="5" fillId="0" borderId="1" applyAlignment="1" pivotButton="0" quotePrefix="0" xfId="0">
      <alignment horizontal="center" vertical="center"/>
    </xf>
    <xf numFmtId="0" fontId="7" fillId="0" borderId="0" pivotButton="0" quotePrefix="0" xfId="0"/>
    <xf numFmtId="4" fontId="8" fillId="0" borderId="1" pivotButton="0" quotePrefix="0" xfId="0"/>
    <xf numFmtId="4" fontId="5" fillId="2" borderId="1" pivotButton="0" quotePrefix="0" xfId="0"/>
    <xf numFmtId="165" fontId="5" fillId="2" borderId="1" pivotButton="0" quotePrefix="0" xfId="0"/>
    <xf numFmtId="3" fontId="5" fillId="2" borderId="1" pivotButton="0" quotePrefix="0" xfId="0"/>
    <xf numFmtId="0" fontId="5" fillId="0" borderId="0" pivotButton="0" quotePrefix="0" xfId="0"/>
    <xf numFmtId="0" fontId="4" fillId="2" borderId="0" pivotButton="0" quotePrefix="0" xfId="0"/>
    <xf numFmtId="0" fontId="8" fillId="0" borderId="0" pivotButton="0" quotePrefix="0" xfId="0"/>
    <xf numFmtId="0" fontId="7" fillId="3" borderId="1" applyAlignment="1" pivotButton="0" quotePrefix="0" xfId="0">
      <alignment horizontal="center" vertical="center"/>
    </xf>
    <xf numFmtId="49" fontId="5" fillId="4" borderId="1" applyAlignment="1" pivotButton="0" quotePrefix="0" xfId="0">
      <alignment horizontal="center" vertical="center"/>
    </xf>
    <xf numFmtId="4" fontId="5" fillId="4" borderId="1" pivotButton="0" quotePrefix="0" xfId="0"/>
    <xf numFmtId="49" fontId="5" fillId="0" borderId="1" applyAlignment="1" pivotButton="0" quotePrefix="0" xfId="0">
      <alignment horizontal="center"/>
    </xf>
    <xf numFmtId="4" fontId="5" fillId="0" borderId="1" pivotButton="0" quotePrefix="0" xfId="0"/>
    <xf numFmtId="0" fontId="7" fillId="3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3" fontId="5" fillId="0" borderId="1" pivotButton="0" quotePrefix="0" xfId="0"/>
    <xf numFmtId="166" fontId="8" fillId="0" borderId="1" pivotButton="0" quotePrefix="0" xfId="0"/>
    <xf numFmtId="166" fontId="6" fillId="0" borderId="1" pivotButton="0" quotePrefix="0" xfId="0"/>
    <xf numFmtId="165" fontId="5" fillId="0" borderId="1" pivotButton="0" quotePrefix="0" xfId="0"/>
    <xf numFmtId="165" fontId="6" fillId="0" borderId="1" pivotButton="0" quotePrefix="0" xfId="0"/>
    <xf numFmtId="0" fontId="7" fillId="5" borderId="1" pivotButton="0" quotePrefix="0" xfId="0"/>
    <xf numFmtId="0" fontId="0" fillId="5" borderId="1" pivotButton="0" quotePrefix="0" xfId="0"/>
    <xf numFmtId="3" fontId="7" fillId="5" borderId="1" pivotButton="0" quotePrefix="0" xfId="0"/>
    <xf numFmtId="166" fontId="7" fillId="5" borderId="1" pivotButton="0" quotePrefix="0" xfId="0"/>
    <xf numFmtId="165" fontId="7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USD / 원 월평균</a:t>
            </a:r>
          </a:p>
        </rich>
      </tx>
    </title>
    <plotArea>
      <lineChart>
        <grouping val="standard"/>
        <ser>
          <idx val="0"/>
          <order val="0"/>
          <tx>
            <strRef>
              <f>'월평균환율'!B4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'월평균환율'!$A$5:$A$10</f>
            </numRef>
          </cat>
          <val>
            <numRef>
              <f>'월평균환율'!$B$5:$B$10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/ 원 월평균</a:t>
            </a:r>
          </a:p>
        </rich>
      </tx>
    </title>
    <plotArea>
      <lineChart>
        <grouping val="standard"/>
        <ser>
          <idx val="0"/>
          <order val="0"/>
          <tx>
            <strRef>
              <f>'월평균환율'!C4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'월평균환율'!$A$5:$A$10</f>
            </numRef>
          </cat>
          <val>
            <numRef>
              <f>'월평균환율'!$C$5:$C$10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안내</author>
  </authors>
  <commentList>
    <comment ref="B18" authorId="0" shapeId="0">
      <text>
        <t>원가 가산 30%: 입고원가 10,000원 → 판매가 13,000원 (판매가 대비 마진 23.1%)
판매가 마진 30%: 입고원가 10,000원 → 판매가 14,286원 (원가 대비 42.9%)
사내에서 쓰는 정의로 고정하세요.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4" customWidth="1" min="2" max="2"/>
  </cols>
  <sheetData>
    <row r="1">
      <c r="B1" s="1" t="inlineStr">
        <is>
          <t>사용 안내</t>
        </is>
      </c>
    </row>
    <row r="2">
      <c r="B2" s="2" t="inlineStr"/>
    </row>
    <row r="3">
      <c r="B3" s="3" t="inlineStr">
        <is>
          <t>1. 매달 할 일 — 환율 갱신</t>
        </is>
      </c>
    </row>
    <row r="4">
      <c r="B4" s="2" t="inlineStr">
        <is>
          <t>① 서울외국환중개 월평균 매매기준율 페이지를 엽니다.</t>
        </is>
      </c>
    </row>
    <row r="5">
      <c r="B5" s="2" t="inlineStr">
        <is>
          <t xml:space="preserve">   http://www.smbs.biz/ExRate/MonAvgStdExRate.jsp</t>
        </is>
      </c>
    </row>
    <row r="6">
      <c r="B6" s="2" t="inlineStr">
        <is>
          <t>② 표에서 해당 월의 미국(USD)과 중국(CNY) 값을 확인합니다.</t>
        </is>
      </c>
    </row>
    <row r="7">
      <c r="B7" s="2" t="inlineStr">
        <is>
          <t>③ [월평균환율] 시트에 한 줄 추가합니다. 연월은 2026-08 처럼 텍스트로 입력하세요.</t>
        </is>
      </c>
    </row>
    <row r="8">
      <c r="B8" s="2" t="inlineStr">
        <is>
          <t>④ 끝입니다. 오늘이 9월이면 8월 값이 자동으로 잡힙니다.</t>
        </is>
      </c>
    </row>
    <row r="9">
      <c r="B9" s="2" t="inlineStr"/>
    </row>
    <row r="10">
      <c r="B10" s="3" t="inlineStr">
        <is>
          <t>2. 자동으로 받아오려면 — 파워쿼리 (Windows 엑셀)</t>
        </is>
      </c>
    </row>
    <row r="11">
      <c r="B11" s="2" t="inlineStr">
        <is>
          <t>① [데이터] 탭 → [데이터 가져오기] → [기타 원본에서] → [웹]</t>
        </is>
      </c>
    </row>
    <row r="12">
      <c r="B12" s="2" t="inlineStr">
        <is>
          <t>② 위 주소를 넣고 [확인] → 탐색 창에서 월평균 표를 고른 뒤 [데이터 변환]</t>
        </is>
      </c>
    </row>
    <row r="13">
      <c r="B13" s="2" t="inlineStr">
        <is>
          <t>③ 연월 · USD · CNY 열만 남기고, 연월을 텍스트로 바꾼 뒤 [닫기 및 로드]</t>
        </is>
      </c>
    </row>
    <row r="14">
      <c r="B14" s="2" t="inlineStr">
        <is>
          <t>④ 이후에는 [데이터] → [모두 새로 고침] 한 번이면 갱신됩니다.</t>
        </is>
      </c>
    </row>
    <row r="15">
      <c r="B15" s="4" t="inlineStr">
        <is>
          <t>※ 이 절차는 실제 사이트에서 확인하지 못했습니다. 사이트 표 구조에 따라 ③단계 열 이름이 다를 수 있고,</t>
        </is>
      </c>
    </row>
    <row r="16">
      <c r="B16" s="4" t="inlineStr">
        <is>
          <t xml:space="preserve">   맥 엑셀은 웹 커넥터 기능이 제한됩니다. 잘 안 되면 위 1번 수동 입력으로 충분합니다.</t>
        </is>
      </c>
    </row>
    <row r="17">
      <c r="B17" s="2" t="inlineStr"/>
    </row>
    <row r="18">
      <c r="B18" s="3" t="inlineStr">
        <is>
          <t>3. 계산 흐름</t>
        </is>
      </c>
    </row>
    <row r="19">
      <c r="B19" s="2" t="inlineStr">
        <is>
          <t>외화 단가 × 환율 = 원화 환산가</t>
        </is>
      </c>
    </row>
    <row r="20">
      <c r="B20" s="2" t="inlineStr">
        <is>
          <t>원화 환산가 × (1 + 부대비용률) = 입고원가</t>
        </is>
      </c>
    </row>
    <row r="21">
      <c r="B21" s="2" t="inlineStr">
        <is>
          <t>입고원가 × (1 + 이윤율)  ← 원가 가산 방식</t>
        </is>
      </c>
    </row>
    <row r="22">
      <c r="B22" s="2" t="inlineStr">
        <is>
          <t>입고원가 ÷ (1 − 이윤율)  ← 판매가 마진 방식</t>
        </is>
      </c>
    </row>
    <row r="23">
      <c r="B23" s="2" t="inlineStr">
        <is>
          <t>→ 절상 단위로 올림 = 판매단가</t>
        </is>
      </c>
    </row>
    <row r="24">
      <c r="B24" s="2" t="inlineStr"/>
    </row>
    <row r="25">
      <c r="B25" s="3" t="inlineStr">
        <is>
          <t>4. 이윤 30%의 두 가지 뜻 — 하나로 고정하세요</t>
        </is>
      </c>
    </row>
    <row r="26">
      <c r="B26" s="2" t="inlineStr">
        <is>
          <t>원가 가산 30%   : 입고원가 10,000원 → 판매가 13,000원 (판매가 대비 마진 23.1%)</t>
        </is>
      </c>
    </row>
    <row r="27">
      <c r="B27" s="2" t="inlineStr">
        <is>
          <t>판매가 마진 30% : 입고원가 10,000원 → 판매가 14,286원 (원가 대비 42.9%)</t>
        </is>
      </c>
    </row>
    <row r="28">
      <c r="B28" s="2" t="inlineStr">
        <is>
          <t>회계상 매출총이익률은 매출 기준이라, 원가에 30%를 붙이면 장부에는 23.1%로 찍힙니다.</t>
        </is>
      </c>
    </row>
    <row r="29">
      <c r="B29" s="2" t="inlineStr"/>
    </row>
    <row r="30">
      <c r="B30" s="3" t="inlineStr">
        <is>
          <t>5. 확인이 필요한 항목</t>
        </is>
      </c>
    </row>
    <row r="31">
      <c r="B31" s="2" t="inlineStr">
        <is>
          <t>· 부대비용 8%는 물품대에 일괄 적용됩니다. 관세는 HS코드별, 운임은 중량·부피 기준이라</t>
        </is>
      </c>
    </row>
    <row r="32">
      <c r="B32" s="2" t="inlineStr">
        <is>
          <t xml:space="preserve">  품목별 편차가 크면 통관비·운임을 실비로 분리하는 편이 정확합니다.</t>
        </is>
      </c>
    </row>
    <row r="33">
      <c r="B33" s="2" t="inlineStr">
        <is>
          <t>· 환율 기준 시점(매입일 / 통관 과세환율 / 결제일)을 정해야 재무 대사가 맞습니다.</t>
        </is>
      </c>
    </row>
    <row r="34">
      <c r="B34" s="2" t="inlineStr">
        <is>
          <t>· 이 파일의 환율과 품목은 모두 예시입니다. 실제 값으로 교체한 뒤 사용하세요.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58" customWidth="1" min="3" max="3"/>
  </cols>
  <sheetData>
    <row r="1">
      <c r="A1" s="1" t="inlineStr">
        <is>
          <t>수입자재 판매가 산출 — 설정</t>
        </is>
      </c>
    </row>
    <row r="2">
      <c r="A2" s="5" t="inlineStr">
        <is>
          <t>플로우텍 수입 → 태성정밀 공급 · 모든 금액 부가세 별도</t>
        </is>
      </c>
    </row>
    <row r="4">
      <c r="A4" s="3" t="inlineStr">
        <is>
          <t>■ 환율</t>
        </is>
      </c>
    </row>
    <row r="5">
      <c r="A5" s="2" t="inlineStr">
        <is>
          <t>기준 선택</t>
        </is>
      </c>
      <c r="B5" s="6" t="inlineStr">
        <is>
          <t>전월 평균</t>
        </is>
      </c>
      <c r="C5" s="5" t="inlineStr">
        <is>
          <t>전월 평균 / 당월 평균 / 직접 입력 중에서 고릅니다.</t>
        </is>
      </c>
    </row>
    <row r="6">
      <c r="A6" s="2" t="inlineStr">
        <is>
          <t>대상 월(날짜)</t>
        </is>
      </c>
      <c r="B6" s="7">
        <f>EOMONTH(TODAY(),IF($B$5="당월 평균",0,-1))</f>
        <v/>
      </c>
      <c r="C6" s="5" t="inlineStr">
        <is>
          <t>오늘 날짜에서 자동 계산됩니다. 손대지 마세요.</t>
        </is>
      </c>
    </row>
    <row r="7">
      <c r="A7" s="2" t="inlineStr">
        <is>
          <t>적용 연월</t>
        </is>
      </c>
      <c r="B7" s="8">
        <f>IF($B$5="직접 입력",$B$8,RIGHT("0000"&amp;YEAR($B$6),4)&amp;"-"&amp;RIGHT("00"&amp;MONTH($B$6),2))</f>
        <v/>
      </c>
      <c r="C7" s="5" t="inlineStr">
        <is>
          <t>월평균환율 시트에서 이 연월을 찾아 환율을 가져옵니다.</t>
        </is>
      </c>
    </row>
    <row r="8">
      <c r="A8" s="2" t="inlineStr">
        <is>
          <t>직접 지정 연월</t>
        </is>
      </c>
      <c r="B8" s="9" t="inlineStr">
        <is>
          <t>2026-08</t>
        </is>
      </c>
      <c r="C8" s="5" t="inlineStr">
        <is>
          <t>기준 선택이 "직접 입력"일 때만 사용합니다. YYYY-MM 형식.</t>
        </is>
      </c>
    </row>
    <row r="10">
      <c r="A10" s="10" t="inlineStr">
        <is>
          <t>적용 USD / 원</t>
        </is>
      </c>
      <c r="B10" s="11">
        <f>IF($B$5="직접 입력",$B$12,IFERROR(INDEX(월평균환율!$B$5:$B$100,MATCH($B$7,월평균환율!$A$5:$A$100,0)),$B$12))</f>
        <v/>
      </c>
      <c r="C10" s="5" t="inlineStr">
        <is>
          <t>월평균환율 시트에 해당 연월이 없으면 아래 수동 환율을 씁니다.</t>
        </is>
      </c>
    </row>
    <row r="11">
      <c r="A11" s="10" t="inlineStr">
        <is>
          <t>적용 CNY / 원</t>
        </is>
      </c>
      <c r="B11" s="11">
        <f>IF($B$5="직접 입력",$B$13,IFERROR(INDEX(월평균환율!$C$5:$C$100,MATCH($B$7,월평균환율!$A$5:$A$100,0)),$B$13))</f>
        <v/>
      </c>
    </row>
    <row r="12">
      <c r="A12" s="2" t="inlineStr">
        <is>
          <t>수동 USD / 원</t>
        </is>
      </c>
      <c r="B12" s="12" t="n">
        <v>1380</v>
      </c>
      <c r="C12" s="4" t="inlineStr">
        <is>
          <t>예비값입니다. 실제 환율로 바꿔 주세요.</t>
        </is>
      </c>
    </row>
    <row r="13">
      <c r="A13" s="2" t="inlineStr">
        <is>
          <t>수동 CNY / 원</t>
        </is>
      </c>
      <c r="B13" s="12" t="n">
        <v>190</v>
      </c>
      <c r="C13" s="4" t="inlineStr">
        <is>
          <t>예비값입니다. 실제 환율로 바꿔 주세요.</t>
        </is>
      </c>
    </row>
    <row r="15">
      <c r="A15" s="3" t="inlineStr">
        <is>
          <t>■ 원가 · 이윤</t>
        </is>
      </c>
    </row>
    <row r="16">
      <c r="A16" s="2" t="inlineStr">
        <is>
          <t>부대비용률</t>
        </is>
      </c>
      <c r="B16" s="13" t="n">
        <v>0.08</v>
      </c>
      <c r="C16" s="5" t="inlineStr">
        <is>
          <t>운임 · 관세 · 통관수수료 · 창고/내륙운송 · 환리스크를 통으로 잡은 비율.</t>
        </is>
      </c>
    </row>
    <row r="17">
      <c r="A17" s="2" t="inlineStr">
        <is>
          <t>이윤율</t>
        </is>
      </c>
      <c r="B17" s="13" t="n">
        <v>0.3</v>
      </c>
      <c r="C17" s="5" t="inlineStr">
        <is>
          <t>품목별로 다르게 주려면 판매가산출 시트 G열에 개별 입력하세요.</t>
        </is>
      </c>
    </row>
    <row r="18">
      <c r="A18" s="2" t="inlineStr">
        <is>
          <t>계산 방식</t>
        </is>
      </c>
      <c r="B18" s="6" t="inlineStr">
        <is>
          <t>원가 가산</t>
        </is>
      </c>
      <c r="C18" s="5" t="inlineStr">
        <is>
          <t>"원가 가산" = 입고원가 × 1.30 · "판매가 마진" = 입고원가 ÷ 0.70</t>
        </is>
      </c>
    </row>
    <row r="19">
      <c r="A19" s="2" t="inlineStr">
        <is>
          <t>판매단가 절상 단위</t>
        </is>
      </c>
      <c r="B19" s="14" t="n">
        <v>10</v>
      </c>
      <c r="C19" s="5" t="inlineStr">
        <is>
          <t>1이면 반올림, 10/100/1000이면 그 단위로 올림 처리합니다.</t>
        </is>
      </c>
    </row>
    <row r="21">
      <c r="A21" s="3" t="inlineStr">
        <is>
          <t>■ 범례</t>
        </is>
      </c>
    </row>
    <row r="22">
      <c r="A22" s="15" t="inlineStr">
        <is>
          <t>파란 글씨</t>
        </is>
      </c>
      <c r="B22" s="5" t="inlineStr">
        <is>
          <t>직접 입력하는 칸</t>
        </is>
      </c>
    </row>
    <row r="23">
      <c r="A23" s="16" t="inlineStr">
        <is>
          <t>노란 채우기</t>
        </is>
      </c>
      <c r="B23" s="5" t="inlineStr">
        <is>
          <t>반드시 확인하고 채워야 하는 칸</t>
        </is>
      </c>
    </row>
    <row r="24">
      <c r="A24" s="2" t="inlineStr">
        <is>
          <t>검정 글씨</t>
        </is>
      </c>
      <c r="B24" s="5" t="inlineStr">
        <is>
          <t>수식 — 손대지 마세요</t>
        </is>
      </c>
    </row>
    <row r="25">
      <c r="A25" s="17" t="inlineStr">
        <is>
          <t>초록 글씨</t>
        </is>
      </c>
      <c r="B25" s="5" t="inlineStr">
        <is>
          <t>다른 시트를 참조하는 수식</t>
        </is>
      </c>
    </row>
  </sheetData>
  <dataValidations count="2">
    <dataValidation sqref="B5" showDropDown="0" showInputMessage="0" showErrorMessage="0" allowBlank="0" type="list">
      <formula1>"전월 평균,당월 평균,직접 입력"</formula1>
    </dataValidation>
    <dataValidation sqref="B18" showDropDown="0" showInputMessage="0" showErrorMessage="0" allowBlank="0" type="list">
      <formula1>"원가 가산,판매가 마진"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34" customWidth="1" min="4" max="4"/>
  </cols>
  <sheetData>
    <row r="1">
      <c r="A1" s="1" t="inlineStr">
        <is>
          <t>월평균 매매기준율</t>
        </is>
      </c>
    </row>
    <row r="2">
      <c r="A2" s="5" t="inlineStr">
        <is>
          <t>출처: 서울외국환중개 http://www.smbs.biz/ExRate/MonAvgStdExRate.jsp — 매달 갱신하세요.</t>
        </is>
      </c>
    </row>
    <row r="4">
      <c r="A4" s="18" t="inlineStr">
        <is>
          <t>연월</t>
        </is>
      </c>
      <c r="B4" s="18" t="inlineStr">
        <is>
          <t>USD / 원</t>
        </is>
      </c>
      <c r="C4" s="18" t="inlineStr">
        <is>
          <t>CNY / 원</t>
        </is>
      </c>
    </row>
    <row r="5">
      <c r="A5" s="19" t="inlineStr">
        <is>
          <t>2026-03</t>
        </is>
      </c>
      <c r="B5" s="20" t="n">
        <v>1368.15</v>
      </c>
      <c r="C5" s="20" t="n">
        <v>191.55</v>
      </c>
      <c r="D5" s="4" t="inlineStr">
        <is>
          <t>예시 값 — 실제 값으로 교체</t>
        </is>
      </c>
    </row>
    <row r="6">
      <c r="A6" s="19" t="inlineStr">
        <is>
          <t>2026-04</t>
        </is>
      </c>
      <c r="B6" s="20" t="n">
        <v>1342</v>
      </c>
      <c r="C6" s="20" t="n">
        <v>186.05</v>
      </c>
      <c r="D6" s="4" t="inlineStr">
        <is>
          <t>예시 값 — 실제 값으로 교체</t>
        </is>
      </c>
    </row>
    <row r="7">
      <c r="A7" s="19" t="inlineStr">
        <is>
          <t>2026-05</t>
        </is>
      </c>
      <c r="B7" s="20" t="n">
        <v>1350.11</v>
      </c>
      <c r="C7" s="20" t="n">
        <v>187.2</v>
      </c>
      <c r="D7" s="4" t="inlineStr">
        <is>
          <t>예시 값 — 실제 값으로 교체</t>
        </is>
      </c>
    </row>
    <row r="8">
      <c r="A8" s="19" t="inlineStr">
        <is>
          <t>2026-06</t>
        </is>
      </c>
      <c r="B8" s="20" t="n">
        <v>1364.88</v>
      </c>
      <c r="C8" s="20" t="n">
        <v>189.47</v>
      </c>
      <c r="D8" s="4" t="inlineStr">
        <is>
          <t>예시 값 — 실제 값으로 교체</t>
        </is>
      </c>
    </row>
    <row r="9">
      <c r="A9" s="19" t="inlineStr">
        <is>
          <t>2026-07</t>
        </is>
      </c>
      <c r="B9" s="20" t="n">
        <v>1371.02</v>
      </c>
      <c r="C9" s="20" t="n">
        <v>190.88</v>
      </c>
      <c r="D9" s="4" t="inlineStr">
        <is>
          <t>예시 값 — 실제 값으로 교체</t>
        </is>
      </c>
    </row>
    <row r="10">
      <c r="A10" s="19" t="inlineStr">
        <is>
          <t>2026-08</t>
        </is>
      </c>
      <c r="B10" s="20" t="n">
        <v>1382.45</v>
      </c>
      <c r="C10" s="20" t="n">
        <v>192.36</v>
      </c>
      <c r="D10" s="4" t="inlineStr">
        <is>
          <t>예시 값 — 실제 값으로 교체</t>
        </is>
      </c>
    </row>
    <row r="11">
      <c r="A11" s="21" t="n"/>
      <c r="B11" s="22" t="n"/>
      <c r="C11" s="22" t="n"/>
    </row>
    <row r="12">
      <c r="A12" s="21" t="n"/>
      <c r="B12" s="22" t="n"/>
      <c r="C12" s="22" t="n"/>
    </row>
    <row r="13">
      <c r="A13" s="21" t="n"/>
      <c r="B13" s="22" t="n"/>
      <c r="C13" s="22" t="n"/>
    </row>
    <row r="14">
      <c r="A14" s="21" t="n"/>
      <c r="B14" s="22" t="n"/>
      <c r="C14" s="22" t="n"/>
    </row>
    <row r="15">
      <c r="A15" s="21" t="n"/>
      <c r="B15" s="22" t="n"/>
      <c r="C15" s="22" t="n"/>
    </row>
    <row r="16">
      <c r="A16" s="21" t="n"/>
      <c r="B16" s="22" t="n"/>
      <c r="C16" s="22" t="n"/>
    </row>
    <row r="17">
      <c r="A17" s="21" t="n"/>
      <c r="B17" s="22" t="n"/>
      <c r="C17" s="22" t="n"/>
    </row>
    <row r="18">
      <c r="A18" s="21" t="n"/>
      <c r="B18" s="22" t="n"/>
      <c r="C18" s="22" t="n"/>
    </row>
    <row r="19">
      <c r="A19" s="21" t="n"/>
      <c r="B19" s="22" t="n"/>
      <c r="C19" s="22" t="n"/>
    </row>
    <row r="20">
      <c r="A20" s="21" t="n"/>
      <c r="B20" s="22" t="n"/>
      <c r="C20" s="22" t="n"/>
    </row>
    <row r="21">
      <c r="A21" s="21" t="n"/>
      <c r="B21" s="22" t="n"/>
      <c r="C21" s="22" t="n"/>
    </row>
    <row r="22">
      <c r="A22" s="21" t="n"/>
      <c r="B22" s="22" t="n"/>
      <c r="C22" s="22" t="n"/>
    </row>
    <row r="23">
      <c r="A23" s="21" t="n"/>
      <c r="B23" s="22" t="n"/>
      <c r="C23" s="22" t="n"/>
    </row>
    <row r="24">
      <c r="A24" s="21" t="n"/>
      <c r="B24" s="22" t="n"/>
      <c r="C24" s="22" t="n"/>
    </row>
    <row r="25">
      <c r="A25" s="21" t="n"/>
      <c r="B25" s="22" t="n"/>
      <c r="C25" s="22" t="n"/>
    </row>
    <row r="26">
      <c r="A26" s="21" t="n"/>
      <c r="B26" s="22" t="n"/>
      <c r="C26" s="22" t="n"/>
    </row>
    <row r="27">
      <c r="A27" s="21" t="n"/>
      <c r="B27" s="22" t="n"/>
      <c r="C27" s="22" t="n"/>
    </row>
    <row r="28">
      <c r="A28" s="21" t="n"/>
      <c r="B28" s="22" t="n"/>
      <c r="C28" s="22" t="n"/>
    </row>
    <row r="30">
      <c r="A30" s="4" t="inlineStr">
        <is>
          <t>연월은 반드시 텍스트 YYYY-MM 형식으로 넣으세요. 날짜로 바뀌면 설정 시트가 값을 찾지 못합니다.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12" customWidth="1" min="3" max="3"/>
    <col width="9" customWidth="1" min="4" max="4"/>
    <col width="13" customWidth="1" min="5" max="5"/>
    <col width="13" customWidth="1" min="6" max="6"/>
    <col width="9" customWidth="1" min="7" max="7"/>
    <col width="9" customWidth="1" min="8" max="8"/>
    <col width="13" customWidth="1" min="9" max="9"/>
    <col width="12" customWidth="1" min="10" max="10"/>
    <col width="9" customWidth="1" min="11" max="11"/>
    <col width="15" customWidth="1" min="12" max="12"/>
    <col width="15" customWidth="1" min="13" max="13"/>
  </cols>
  <sheetData>
    <row r="1">
      <c r="A1" s="1" t="inlineStr">
        <is>
          <t>품목별 판매가 산출</t>
        </is>
      </c>
    </row>
    <row r="2">
      <c r="A2" s="17">
        <f>" 적용 환율: "&amp;설정!$B$7&amp;"  ·  USD "&amp;TEXT(설정!$B$10,"#,##0.00")&amp;"  ·  CNY "&amp;TEXT(설정!$B$11,"#,##0.00")&amp;"  ·  부대비용 "&amp;TEXT(설정!$B$16,"0.0%")&amp;"  ·  "&amp;설정!$B$18&amp;" "&amp;TEXT(설정!$B$17,"0.0%")</f>
        <v/>
      </c>
    </row>
    <row r="4" ht="30" customHeight="1">
      <c r="A4" s="23" t="inlineStr">
        <is>
          <t>품목</t>
        </is>
      </c>
      <c r="B4" s="23" t="inlineStr">
        <is>
          <t>통화</t>
        </is>
      </c>
      <c r="C4" s="23" t="inlineStr">
        <is>
          <t>외화 단가</t>
        </is>
      </c>
      <c r="D4" s="23" t="inlineStr">
        <is>
          <t>수량</t>
        </is>
      </c>
      <c r="E4" s="23" t="inlineStr">
        <is>
          <t>원화 환산</t>
        </is>
      </c>
      <c r="F4" s="23" t="inlineStr">
        <is>
          <t>입고원가 /개</t>
        </is>
      </c>
      <c r="G4" s="23" t="inlineStr">
        <is>
          <t>이윤율</t>
        </is>
      </c>
      <c r="H4" s="23" t="inlineStr">
        <is>
          <t>적용 이윤율</t>
        </is>
      </c>
      <c r="I4" s="23" t="inlineStr">
        <is>
          <t>판매단가 /개</t>
        </is>
      </c>
      <c r="J4" s="23" t="inlineStr">
        <is>
          <t>개당 마진</t>
        </is>
      </c>
      <c r="K4" s="23" t="inlineStr">
        <is>
          <t>마진율</t>
        </is>
      </c>
      <c r="L4" s="23" t="inlineStr">
        <is>
          <t>판매 합계</t>
        </is>
      </c>
      <c r="M4" s="23" t="inlineStr">
        <is>
          <t>원가 합계</t>
        </is>
      </c>
    </row>
    <row r="5">
      <c r="A5" s="24" t="inlineStr">
        <is>
          <t>SUS304 환봉 ø25</t>
        </is>
      </c>
      <c r="B5" s="25" t="inlineStr">
        <is>
          <t>CNY</t>
        </is>
      </c>
      <c r="C5" s="22" t="n">
        <v>42.5</v>
      </c>
      <c r="D5" s="26" t="n">
        <v>120</v>
      </c>
      <c r="E5" s="27">
        <f>IF(N($C5)=0,"",$C5*IF($B5="USD",설정!$B$10,IF($B5="CNY",설정!$B$11,1)))</f>
        <v/>
      </c>
      <c r="F5" s="28">
        <f>IF($E5="","",$E5*(1+설정!$B$16))</f>
        <v/>
      </c>
      <c r="G5" s="29" t="n"/>
      <c r="H5" s="30">
        <f>IF($E5="","",IF($G5="",설정!$B$17,$G5))</f>
        <v/>
      </c>
      <c r="I5" s="28">
        <f>IF($F5="","",IFERROR(IF(설정!$B$19&lt;=1,ROUND(IF(설정!$B$18="판매가 마진",$F5/(1-$H5),$F5*(1+$H5)),0),CEILING(IF(설정!$B$18="판매가 마진",$F5/(1-$H5),$F5*(1+$H5)),설정!$B$19)),0))</f>
        <v/>
      </c>
      <c r="J5" s="28">
        <f>IF($I5="","",$I5-$F5)</f>
        <v/>
      </c>
      <c r="K5" s="30">
        <f>IF(N($I5)=0,"",$J5/$I5)</f>
        <v/>
      </c>
      <c r="L5" s="28">
        <f>IF($I5="","",$I5*$D5)</f>
        <v/>
      </c>
      <c r="M5" s="28">
        <f>IF($F5="","",$F5*$D5)</f>
        <v/>
      </c>
    </row>
    <row r="6">
      <c r="A6" s="24" t="inlineStr">
        <is>
          <t>SUS316L 파이프 1/2"</t>
        </is>
      </c>
      <c r="B6" s="25" t="inlineStr">
        <is>
          <t>CNY</t>
        </is>
      </c>
      <c r="C6" s="22" t="n">
        <v>78</v>
      </c>
      <c r="D6" s="26" t="n">
        <v>60</v>
      </c>
      <c r="E6" s="27">
        <f>IF(N($C6)=0,"",$C6*IF($B6="USD",설정!$B$10,IF($B6="CNY",설정!$B$11,1)))</f>
        <v/>
      </c>
      <c r="F6" s="28">
        <f>IF($E6="","",$E6*(1+설정!$B$16))</f>
        <v/>
      </c>
      <c r="G6" s="29" t="n"/>
      <c r="H6" s="30">
        <f>IF($E6="","",IF($G6="",설정!$B$17,$G6))</f>
        <v/>
      </c>
      <c r="I6" s="28">
        <f>IF($F6="","",IFERROR(IF(설정!$B$19&lt;=1,ROUND(IF(설정!$B$18="판매가 마진",$F6/(1-$H6),$F6*(1+$H6)),0),CEILING(IF(설정!$B$18="판매가 마진",$F6/(1-$H6),$F6*(1+$H6)),설정!$B$19)),0))</f>
        <v/>
      </c>
      <c r="J6" s="28">
        <f>IF($I6="","",$I6-$F6)</f>
        <v/>
      </c>
      <c r="K6" s="30">
        <f>IF(N($I6)=0,"",$J6/$I6)</f>
        <v/>
      </c>
      <c r="L6" s="28">
        <f>IF($I6="","",$I6*$D6)</f>
        <v/>
      </c>
      <c r="M6" s="28">
        <f>IF($F6="","",$F6*$D6)</f>
        <v/>
      </c>
    </row>
    <row r="7">
      <c r="A7" s="24" t="inlineStr">
        <is>
          <t>황동봉 C3604 ø20</t>
        </is>
      </c>
      <c r="B7" s="25" t="inlineStr">
        <is>
          <t>CNY</t>
        </is>
      </c>
      <c r="C7" s="22" t="n">
        <v>36.8</v>
      </c>
      <c r="D7" s="26" t="n">
        <v>200</v>
      </c>
      <c r="E7" s="27">
        <f>IF(N($C7)=0,"",$C7*IF($B7="USD",설정!$B$10,IF($B7="CNY",설정!$B$11,1)))</f>
        <v/>
      </c>
      <c r="F7" s="28">
        <f>IF($E7="","",$E7*(1+설정!$B$16))</f>
        <v/>
      </c>
      <c r="G7" s="29" t="n"/>
      <c r="H7" s="30">
        <f>IF($E7="","",IF($G7="",설정!$B$17,$G7))</f>
        <v/>
      </c>
      <c r="I7" s="28">
        <f>IF($F7="","",IFERROR(IF(설정!$B$19&lt;=1,ROUND(IF(설정!$B$18="판매가 마진",$F7/(1-$H7),$F7*(1+$H7)),0),CEILING(IF(설정!$B$18="판매가 마진",$F7/(1-$H7),$F7*(1+$H7)),설정!$B$19)),0))</f>
        <v/>
      </c>
      <c r="J7" s="28">
        <f>IF($I7="","",$I7-$F7)</f>
        <v/>
      </c>
      <c r="K7" s="30">
        <f>IF(N($I7)=0,"",$J7/$I7)</f>
        <v/>
      </c>
      <c r="L7" s="28">
        <f>IF($I7="","",$I7*$D7)</f>
        <v/>
      </c>
      <c r="M7" s="28">
        <f>IF($F7="","",$F7*$D7)</f>
        <v/>
      </c>
    </row>
    <row r="8">
      <c r="A8" s="24" t="inlineStr">
        <is>
          <t>알루미늄 빌렛 6061-T6</t>
        </is>
      </c>
      <c r="B8" s="25" t="inlineStr">
        <is>
          <t>USD</t>
        </is>
      </c>
      <c r="C8" s="22" t="n">
        <v>9.4</v>
      </c>
      <c r="D8" s="26" t="n">
        <v>150</v>
      </c>
      <c r="E8" s="27">
        <f>IF(N($C8)=0,"",$C8*IF($B8="USD",설정!$B$10,IF($B8="CNY",설정!$B$11,1)))</f>
        <v/>
      </c>
      <c r="F8" s="28">
        <f>IF($E8="","",$E8*(1+설정!$B$16))</f>
        <v/>
      </c>
      <c r="G8" s="29" t="n"/>
      <c r="H8" s="30">
        <f>IF($E8="","",IF($G8="",설정!$B$17,$G8))</f>
        <v/>
      </c>
      <c r="I8" s="28">
        <f>IF($F8="","",IFERROR(IF(설정!$B$19&lt;=1,ROUND(IF(설정!$B$18="판매가 마진",$F8/(1-$H8),$F8*(1+$H8)),0),CEILING(IF(설정!$B$18="판매가 마진",$F8/(1-$H8),$F8*(1+$H8)),설정!$B$19)),0))</f>
        <v/>
      </c>
      <c r="J8" s="28">
        <f>IF($I8="","",$I8-$F8)</f>
        <v/>
      </c>
      <c r="K8" s="30">
        <f>IF(N($I8)=0,"",$J8/$I8)</f>
        <v/>
      </c>
      <c r="L8" s="28">
        <f>IF($I8="","",$I8*$D8)</f>
        <v/>
      </c>
      <c r="M8" s="28">
        <f>IF($F8="","",$F8*$D8)</f>
        <v/>
      </c>
    </row>
    <row r="9">
      <c r="A9" s="24" t="inlineStr">
        <is>
          <t>유압 피팅 어댑터 PT1/4</t>
        </is>
      </c>
      <c r="B9" s="25" t="inlineStr">
        <is>
          <t>USD</t>
        </is>
      </c>
      <c r="C9" s="22" t="n">
        <v>3.15</v>
      </c>
      <c r="D9" s="26" t="n">
        <v>800</v>
      </c>
      <c r="E9" s="27">
        <f>IF(N($C9)=0,"",$C9*IF($B9="USD",설정!$B$10,IF($B9="CNY",설정!$B$11,1)))</f>
        <v/>
      </c>
      <c r="F9" s="28">
        <f>IF($E9="","",$E9*(1+설정!$B$16))</f>
        <v/>
      </c>
      <c r="G9" s="29" t="n">
        <v>0.35</v>
      </c>
      <c r="H9" s="30">
        <f>IF($E9="","",IF($G9="",설정!$B$17,$G9))</f>
        <v/>
      </c>
      <c r="I9" s="28">
        <f>IF($F9="","",IFERROR(IF(설정!$B$19&lt;=1,ROUND(IF(설정!$B$18="판매가 마진",$F9/(1-$H9),$F9*(1+$H9)),0),CEILING(IF(설정!$B$18="판매가 마진",$F9/(1-$H9),$F9*(1+$H9)),설정!$B$19)),0))</f>
        <v/>
      </c>
      <c r="J9" s="28">
        <f>IF($I9="","",$I9-$F9)</f>
        <v/>
      </c>
      <c r="K9" s="30">
        <f>IF(N($I9)=0,"",$J9/$I9)</f>
        <v/>
      </c>
      <c r="L9" s="28">
        <f>IF($I9="","",$I9*$D9)</f>
        <v/>
      </c>
      <c r="M9" s="28">
        <f>IF($F9="","",$F9*$D9)</f>
        <v/>
      </c>
    </row>
    <row r="10">
      <c r="A10" s="24" t="inlineStr">
        <is>
          <t>O-링 NBR P-24 (100EA)</t>
        </is>
      </c>
      <c r="B10" s="25" t="inlineStr">
        <is>
          <t>CNY</t>
        </is>
      </c>
      <c r="C10" s="22" t="n">
        <v>11.2</v>
      </c>
      <c r="D10" s="26" t="n">
        <v>40</v>
      </c>
      <c r="E10" s="27">
        <f>IF(N($C10)=0,"",$C10*IF($B10="USD",설정!$B$10,IF($B10="CNY",설정!$B$11,1)))</f>
        <v/>
      </c>
      <c r="F10" s="28">
        <f>IF($E10="","",$E10*(1+설정!$B$16))</f>
        <v/>
      </c>
      <c r="G10" s="29" t="n"/>
      <c r="H10" s="30">
        <f>IF($E10="","",IF($G10="",설정!$B$17,$G10))</f>
        <v/>
      </c>
      <c r="I10" s="28">
        <f>IF($F10="","",IFERROR(IF(설정!$B$19&lt;=1,ROUND(IF(설정!$B$18="판매가 마진",$F10/(1-$H10),$F10*(1+$H10)),0),CEILING(IF(설정!$B$18="판매가 마진",$F10/(1-$H10),$F10*(1+$H10)),설정!$B$19)),0))</f>
        <v/>
      </c>
      <c r="J10" s="28">
        <f>IF($I10="","",$I10-$F10)</f>
        <v/>
      </c>
      <c r="K10" s="30">
        <f>IF(N($I10)=0,"",$J10/$I10)</f>
        <v/>
      </c>
      <c r="L10" s="28">
        <f>IF($I10="","",$I10*$D10)</f>
        <v/>
      </c>
      <c r="M10" s="28">
        <f>IF($F10="","",$F10*$D10)</f>
        <v/>
      </c>
    </row>
    <row r="11">
      <c r="A11" s="24" t="n"/>
      <c r="B11" s="25" t="n"/>
      <c r="C11" s="22" t="n"/>
      <c r="D11" s="26" t="n"/>
      <c r="E11" s="27">
        <f>IF(N($C11)=0,"",$C11*IF($B11="USD",설정!$B$10,IF($B11="CNY",설정!$B$11,1)))</f>
        <v/>
      </c>
      <c r="F11" s="28">
        <f>IF($E11="","",$E11*(1+설정!$B$16))</f>
        <v/>
      </c>
      <c r="G11" s="29" t="n"/>
      <c r="H11" s="30">
        <f>IF($E11="","",IF($G11="",설정!$B$17,$G11))</f>
        <v/>
      </c>
      <c r="I11" s="28">
        <f>IF($F11="","",IFERROR(IF(설정!$B$19&lt;=1,ROUND(IF(설정!$B$18="판매가 마진",$F11/(1-$H11),$F11*(1+$H11)),0),CEILING(IF(설정!$B$18="판매가 마진",$F11/(1-$H11),$F11*(1+$H11)),설정!$B$19)),0))</f>
        <v/>
      </c>
      <c r="J11" s="28">
        <f>IF($I11="","",$I11-$F11)</f>
        <v/>
      </c>
      <c r="K11" s="30">
        <f>IF(N($I11)=0,"",$J11/$I11)</f>
        <v/>
      </c>
      <c r="L11" s="28">
        <f>IF($I11="","",$I11*$D11)</f>
        <v/>
      </c>
      <c r="M11" s="28">
        <f>IF($F11="","",$F11*$D11)</f>
        <v/>
      </c>
    </row>
    <row r="12">
      <c r="A12" s="24" t="n"/>
      <c r="B12" s="25" t="n"/>
      <c r="C12" s="22" t="n"/>
      <c r="D12" s="26" t="n"/>
      <c r="E12" s="27">
        <f>IF(N($C12)=0,"",$C12*IF($B12="USD",설정!$B$10,IF($B12="CNY",설정!$B$11,1)))</f>
        <v/>
      </c>
      <c r="F12" s="28">
        <f>IF($E12="","",$E12*(1+설정!$B$16))</f>
        <v/>
      </c>
      <c r="G12" s="29" t="n"/>
      <c r="H12" s="30">
        <f>IF($E12="","",IF($G12="",설정!$B$17,$G12))</f>
        <v/>
      </c>
      <c r="I12" s="28">
        <f>IF($F12="","",IFERROR(IF(설정!$B$19&lt;=1,ROUND(IF(설정!$B$18="판매가 마진",$F12/(1-$H12),$F12*(1+$H12)),0),CEILING(IF(설정!$B$18="판매가 마진",$F12/(1-$H12),$F12*(1+$H12)),설정!$B$19)),0))</f>
        <v/>
      </c>
      <c r="J12" s="28">
        <f>IF($I12="","",$I12-$F12)</f>
        <v/>
      </c>
      <c r="K12" s="30">
        <f>IF(N($I12)=0,"",$J12/$I12)</f>
        <v/>
      </c>
      <c r="L12" s="28">
        <f>IF($I12="","",$I12*$D12)</f>
        <v/>
      </c>
      <c r="M12" s="28">
        <f>IF($F12="","",$F12*$D12)</f>
        <v/>
      </c>
    </row>
    <row r="13">
      <c r="A13" s="24" t="n"/>
      <c r="B13" s="25" t="n"/>
      <c r="C13" s="22" t="n"/>
      <c r="D13" s="26" t="n"/>
      <c r="E13" s="27">
        <f>IF(N($C13)=0,"",$C13*IF($B13="USD",설정!$B$10,IF($B13="CNY",설정!$B$11,1)))</f>
        <v/>
      </c>
      <c r="F13" s="28">
        <f>IF($E13="","",$E13*(1+설정!$B$16))</f>
        <v/>
      </c>
      <c r="G13" s="29" t="n"/>
      <c r="H13" s="30">
        <f>IF($E13="","",IF($G13="",설정!$B$17,$G13))</f>
        <v/>
      </c>
      <c r="I13" s="28">
        <f>IF($F13="","",IFERROR(IF(설정!$B$19&lt;=1,ROUND(IF(설정!$B$18="판매가 마진",$F13/(1-$H13),$F13*(1+$H13)),0),CEILING(IF(설정!$B$18="판매가 마진",$F13/(1-$H13),$F13*(1+$H13)),설정!$B$19)),0))</f>
        <v/>
      </c>
      <c r="J13" s="28">
        <f>IF($I13="","",$I13-$F13)</f>
        <v/>
      </c>
      <c r="K13" s="30">
        <f>IF(N($I13)=0,"",$J13/$I13)</f>
        <v/>
      </c>
      <c r="L13" s="28">
        <f>IF($I13="","",$I13*$D13)</f>
        <v/>
      </c>
      <c r="M13" s="28">
        <f>IF($F13="","",$F13*$D13)</f>
        <v/>
      </c>
    </row>
    <row r="14">
      <c r="A14" s="24" t="n"/>
      <c r="B14" s="25" t="n"/>
      <c r="C14" s="22" t="n"/>
      <c r="D14" s="26" t="n"/>
      <c r="E14" s="27">
        <f>IF(N($C14)=0,"",$C14*IF($B14="USD",설정!$B$10,IF($B14="CNY",설정!$B$11,1)))</f>
        <v/>
      </c>
      <c r="F14" s="28">
        <f>IF($E14="","",$E14*(1+설정!$B$16))</f>
        <v/>
      </c>
      <c r="G14" s="29" t="n"/>
      <c r="H14" s="30">
        <f>IF($E14="","",IF($G14="",설정!$B$17,$G14))</f>
        <v/>
      </c>
      <c r="I14" s="28">
        <f>IF($F14="","",IFERROR(IF(설정!$B$19&lt;=1,ROUND(IF(설정!$B$18="판매가 마진",$F14/(1-$H14),$F14*(1+$H14)),0),CEILING(IF(설정!$B$18="판매가 마진",$F14/(1-$H14),$F14*(1+$H14)),설정!$B$19)),0))</f>
        <v/>
      </c>
      <c r="J14" s="28">
        <f>IF($I14="","",$I14-$F14)</f>
        <v/>
      </c>
      <c r="K14" s="30">
        <f>IF(N($I14)=0,"",$J14/$I14)</f>
        <v/>
      </c>
      <c r="L14" s="28">
        <f>IF($I14="","",$I14*$D14)</f>
        <v/>
      </c>
      <c r="M14" s="28">
        <f>IF($F14="","",$F14*$D14)</f>
        <v/>
      </c>
    </row>
    <row r="15">
      <c r="A15" s="24" t="n"/>
      <c r="B15" s="25" t="n"/>
      <c r="C15" s="22" t="n"/>
      <c r="D15" s="26" t="n"/>
      <c r="E15" s="27">
        <f>IF(N($C15)=0,"",$C15*IF($B15="USD",설정!$B$10,IF($B15="CNY",설정!$B$11,1)))</f>
        <v/>
      </c>
      <c r="F15" s="28">
        <f>IF($E15="","",$E15*(1+설정!$B$16))</f>
        <v/>
      </c>
      <c r="G15" s="29" t="n"/>
      <c r="H15" s="30">
        <f>IF($E15="","",IF($G15="",설정!$B$17,$G15))</f>
        <v/>
      </c>
      <c r="I15" s="28">
        <f>IF($F15="","",IFERROR(IF(설정!$B$19&lt;=1,ROUND(IF(설정!$B$18="판매가 마진",$F15/(1-$H15),$F15*(1+$H15)),0),CEILING(IF(설정!$B$18="판매가 마진",$F15/(1-$H15),$F15*(1+$H15)),설정!$B$19)),0))</f>
        <v/>
      </c>
      <c r="J15" s="28">
        <f>IF($I15="","",$I15-$F15)</f>
        <v/>
      </c>
      <c r="K15" s="30">
        <f>IF(N($I15)=0,"",$J15/$I15)</f>
        <v/>
      </c>
      <c r="L15" s="28">
        <f>IF($I15="","",$I15*$D15)</f>
        <v/>
      </c>
      <c r="M15" s="28">
        <f>IF($F15="","",$F15*$D15)</f>
        <v/>
      </c>
    </row>
    <row r="16">
      <c r="A16" s="24" t="n"/>
      <c r="B16" s="25" t="n"/>
      <c r="C16" s="22" t="n"/>
      <c r="D16" s="26" t="n"/>
      <c r="E16" s="27">
        <f>IF(N($C16)=0,"",$C16*IF($B16="USD",설정!$B$10,IF($B16="CNY",설정!$B$11,1)))</f>
        <v/>
      </c>
      <c r="F16" s="28">
        <f>IF($E16="","",$E16*(1+설정!$B$16))</f>
        <v/>
      </c>
      <c r="G16" s="29" t="n"/>
      <c r="H16" s="30">
        <f>IF($E16="","",IF($G16="",설정!$B$17,$G16))</f>
        <v/>
      </c>
      <c r="I16" s="28">
        <f>IF($F16="","",IFERROR(IF(설정!$B$19&lt;=1,ROUND(IF(설정!$B$18="판매가 마진",$F16/(1-$H16),$F16*(1+$H16)),0),CEILING(IF(설정!$B$18="판매가 마진",$F16/(1-$H16),$F16*(1+$H16)),설정!$B$19)),0))</f>
        <v/>
      </c>
      <c r="J16" s="28">
        <f>IF($I16="","",$I16-$F16)</f>
        <v/>
      </c>
      <c r="K16" s="30">
        <f>IF(N($I16)=0,"",$J16/$I16)</f>
        <v/>
      </c>
      <c r="L16" s="28">
        <f>IF($I16="","",$I16*$D16)</f>
        <v/>
      </c>
      <c r="M16" s="28">
        <f>IF($F16="","",$F16*$D16)</f>
        <v/>
      </c>
    </row>
    <row r="17">
      <c r="A17" s="24" t="n"/>
      <c r="B17" s="25" t="n"/>
      <c r="C17" s="22" t="n"/>
      <c r="D17" s="26" t="n"/>
      <c r="E17" s="27">
        <f>IF(N($C17)=0,"",$C17*IF($B17="USD",설정!$B$10,IF($B17="CNY",설정!$B$11,1)))</f>
        <v/>
      </c>
      <c r="F17" s="28">
        <f>IF($E17="","",$E17*(1+설정!$B$16))</f>
        <v/>
      </c>
      <c r="G17" s="29" t="n"/>
      <c r="H17" s="30">
        <f>IF($E17="","",IF($G17="",설정!$B$17,$G17))</f>
        <v/>
      </c>
      <c r="I17" s="28">
        <f>IF($F17="","",IFERROR(IF(설정!$B$19&lt;=1,ROUND(IF(설정!$B$18="판매가 마진",$F17/(1-$H17),$F17*(1+$H17)),0),CEILING(IF(설정!$B$18="판매가 마진",$F17/(1-$H17),$F17*(1+$H17)),설정!$B$19)),0))</f>
        <v/>
      </c>
      <c r="J17" s="28">
        <f>IF($I17="","",$I17-$F17)</f>
        <v/>
      </c>
      <c r="K17" s="30">
        <f>IF(N($I17)=0,"",$J17/$I17)</f>
        <v/>
      </c>
      <c r="L17" s="28">
        <f>IF($I17="","",$I17*$D17)</f>
        <v/>
      </c>
      <c r="M17" s="28">
        <f>IF($F17="","",$F17*$D17)</f>
        <v/>
      </c>
    </row>
    <row r="18">
      <c r="A18" s="24" t="n"/>
      <c r="B18" s="25" t="n"/>
      <c r="C18" s="22" t="n"/>
      <c r="D18" s="26" t="n"/>
      <c r="E18" s="27">
        <f>IF(N($C18)=0,"",$C18*IF($B18="USD",설정!$B$10,IF($B18="CNY",설정!$B$11,1)))</f>
        <v/>
      </c>
      <c r="F18" s="28">
        <f>IF($E18="","",$E18*(1+설정!$B$16))</f>
        <v/>
      </c>
      <c r="G18" s="29" t="n"/>
      <c r="H18" s="30">
        <f>IF($E18="","",IF($G18="",설정!$B$17,$G18))</f>
        <v/>
      </c>
      <c r="I18" s="28">
        <f>IF($F18="","",IFERROR(IF(설정!$B$19&lt;=1,ROUND(IF(설정!$B$18="판매가 마진",$F18/(1-$H18),$F18*(1+$H18)),0),CEILING(IF(설정!$B$18="판매가 마진",$F18/(1-$H18),$F18*(1+$H18)),설정!$B$19)),0))</f>
        <v/>
      </c>
      <c r="J18" s="28">
        <f>IF($I18="","",$I18-$F18)</f>
        <v/>
      </c>
      <c r="K18" s="30">
        <f>IF(N($I18)=0,"",$J18/$I18)</f>
        <v/>
      </c>
      <c r="L18" s="28">
        <f>IF($I18="","",$I18*$D18)</f>
        <v/>
      </c>
      <c r="M18" s="28">
        <f>IF($F18="","",$F18*$D18)</f>
        <v/>
      </c>
    </row>
    <row r="19">
      <c r="A19" s="24" t="n"/>
      <c r="B19" s="25" t="n"/>
      <c r="C19" s="22" t="n"/>
      <c r="D19" s="26" t="n"/>
      <c r="E19" s="27">
        <f>IF(N($C19)=0,"",$C19*IF($B19="USD",설정!$B$10,IF($B19="CNY",설정!$B$11,1)))</f>
        <v/>
      </c>
      <c r="F19" s="28">
        <f>IF($E19="","",$E19*(1+설정!$B$16))</f>
        <v/>
      </c>
      <c r="G19" s="29" t="n"/>
      <c r="H19" s="30">
        <f>IF($E19="","",IF($G19="",설정!$B$17,$G19))</f>
        <v/>
      </c>
      <c r="I19" s="28">
        <f>IF($F19="","",IFERROR(IF(설정!$B$19&lt;=1,ROUND(IF(설정!$B$18="판매가 마진",$F19/(1-$H19),$F19*(1+$H19)),0),CEILING(IF(설정!$B$18="판매가 마진",$F19/(1-$H19),$F19*(1+$H19)),설정!$B$19)),0))</f>
        <v/>
      </c>
      <c r="J19" s="28">
        <f>IF($I19="","",$I19-$F19)</f>
        <v/>
      </c>
      <c r="K19" s="30">
        <f>IF(N($I19)=0,"",$J19/$I19)</f>
        <v/>
      </c>
      <c r="L19" s="28">
        <f>IF($I19="","",$I19*$D19)</f>
        <v/>
      </c>
      <c r="M19" s="28">
        <f>IF($F19="","",$F19*$D19)</f>
        <v/>
      </c>
    </row>
    <row r="20">
      <c r="A20" s="24" t="n"/>
      <c r="B20" s="25" t="n"/>
      <c r="C20" s="22" t="n"/>
      <c r="D20" s="26" t="n"/>
      <c r="E20" s="27">
        <f>IF(N($C20)=0,"",$C20*IF($B20="USD",설정!$B$10,IF($B20="CNY",설정!$B$11,1)))</f>
        <v/>
      </c>
      <c r="F20" s="28">
        <f>IF($E20="","",$E20*(1+설정!$B$16))</f>
        <v/>
      </c>
      <c r="G20" s="29" t="n"/>
      <c r="H20" s="30">
        <f>IF($E20="","",IF($G20="",설정!$B$17,$G20))</f>
        <v/>
      </c>
      <c r="I20" s="28">
        <f>IF($F20="","",IFERROR(IF(설정!$B$19&lt;=1,ROUND(IF(설정!$B$18="판매가 마진",$F20/(1-$H20),$F20*(1+$H20)),0),CEILING(IF(설정!$B$18="판매가 마진",$F20/(1-$H20),$F20*(1+$H20)),설정!$B$19)),0))</f>
        <v/>
      </c>
      <c r="J20" s="28">
        <f>IF($I20="","",$I20-$F20)</f>
        <v/>
      </c>
      <c r="K20" s="30">
        <f>IF(N($I20)=0,"",$J20/$I20)</f>
        <v/>
      </c>
      <c r="L20" s="28">
        <f>IF($I20="","",$I20*$D20)</f>
        <v/>
      </c>
      <c r="M20" s="28">
        <f>IF($F20="","",$F20*$D20)</f>
        <v/>
      </c>
    </row>
    <row r="21">
      <c r="A21" s="24" t="n"/>
      <c r="B21" s="25" t="n"/>
      <c r="C21" s="22" t="n"/>
      <c r="D21" s="26" t="n"/>
      <c r="E21" s="27">
        <f>IF(N($C21)=0,"",$C21*IF($B21="USD",설정!$B$10,IF($B21="CNY",설정!$B$11,1)))</f>
        <v/>
      </c>
      <c r="F21" s="28">
        <f>IF($E21="","",$E21*(1+설정!$B$16))</f>
        <v/>
      </c>
      <c r="G21" s="29" t="n"/>
      <c r="H21" s="30">
        <f>IF($E21="","",IF($G21="",설정!$B$17,$G21))</f>
        <v/>
      </c>
      <c r="I21" s="28">
        <f>IF($F21="","",IFERROR(IF(설정!$B$19&lt;=1,ROUND(IF(설정!$B$18="판매가 마진",$F21/(1-$H21),$F21*(1+$H21)),0),CEILING(IF(설정!$B$18="판매가 마진",$F21/(1-$H21),$F21*(1+$H21)),설정!$B$19)),0))</f>
        <v/>
      </c>
      <c r="J21" s="28">
        <f>IF($I21="","",$I21-$F21)</f>
        <v/>
      </c>
      <c r="K21" s="30">
        <f>IF(N($I21)=0,"",$J21/$I21)</f>
        <v/>
      </c>
      <c r="L21" s="28">
        <f>IF($I21="","",$I21*$D21)</f>
        <v/>
      </c>
      <c r="M21" s="28">
        <f>IF($F21="","",$F21*$D21)</f>
        <v/>
      </c>
    </row>
    <row r="22">
      <c r="A22" s="24" t="n"/>
      <c r="B22" s="25" t="n"/>
      <c r="C22" s="22" t="n"/>
      <c r="D22" s="26" t="n"/>
      <c r="E22" s="27">
        <f>IF(N($C22)=0,"",$C22*IF($B22="USD",설정!$B$10,IF($B22="CNY",설정!$B$11,1)))</f>
        <v/>
      </c>
      <c r="F22" s="28">
        <f>IF($E22="","",$E22*(1+설정!$B$16))</f>
        <v/>
      </c>
      <c r="G22" s="29" t="n"/>
      <c r="H22" s="30">
        <f>IF($E22="","",IF($G22="",설정!$B$17,$G22))</f>
        <v/>
      </c>
      <c r="I22" s="28">
        <f>IF($F22="","",IFERROR(IF(설정!$B$19&lt;=1,ROUND(IF(설정!$B$18="판매가 마진",$F22/(1-$H22),$F22*(1+$H22)),0),CEILING(IF(설정!$B$18="판매가 마진",$F22/(1-$H22),$F22*(1+$H22)),설정!$B$19)),0))</f>
        <v/>
      </c>
      <c r="J22" s="28">
        <f>IF($I22="","",$I22-$F22)</f>
        <v/>
      </c>
      <c r="K22" s="30">
        <f>IF(N($I22)=0,"",$J22/$I22)</f>
        <v/>
      </c>
      <c r="L22" s="28">
        <f>IF($I22="","",$I22*$D22)</f>
        <v/>
      </c>
      <c r="M22" s="28">
        <f>IF($F22="","",$F22*$D22)</f>
        <v/>
      </c>
    </row>
    <row r="23">
      <c r="A23" s="24" t="n"/>
      <c r="B23" s="25" t="n"/>
      <c r="C23" s="22" t="n"/>
      <c r="D23" s="26" t="n"/>
      <c r="E23" s="27">
        <f>IF(N($C23)=0,"",$C23*IF($B23="USD",설정!$B$10,IF($B23="CNY",설정!$B$11,1)))</f>
        <v/>
      </c>
      <c r="F23" s="28">
        <f>IF($E23="","",$E23*(1+설정!$B$16))</f>
        <v/>
      </c>
      <c r="G23" s="29" t="n"/>
      <c r="H23" s="30">
        <f>IF($E23="","",IF($G23="",설정!$B$17,$G23))</f>
        <v/>
      </c>
      <c r="I23" s="28">
        <f>IF($F23="","",IFERROR(IF(설정!$B$19&lt;=1,ROUND(IF(설정!$B$18="판매가 마진",$F23/(1-$H23),$F23*(1+$H23)),0),CEILING(IF(설정!$B$18="판매가 마진",$F23/(1-$H23),$F23*(1+$H23)),설정!$B$19)),0))</f>
        <v/>
      </c>
      <c r="J23" s="28">
        <f>IF($I23="","",$I23-$F23)</f>
        <v/>
      </c>
      <c r="K23" s="30">
        <f>IF(N($I23)=0,"",$J23/$I23)</f>
        <v/>
      </c>
      <c r="L23" s="28">
        <f>IF($I23="","",$I23*$D23)</f>
        <v/>
      </c>
      <c r="M23" s="28">
        <f>IF($F23="","",$F23*$D23)</f>
        <v/>
      </c>
    </row>
    <row r="24">
      <c r="A24" s="24" t="n"/>
      <c r="B24" s="25" t="n"/>
      <c r="C24" s="22" t="n"/>
      <c r="D24" s="26" t="n"/>
      <c r="E24" s="27">
        <f>IF(N($C24)=0,"",$C24*IF($B24="USD",설정!$B$10,IF($B24="CNY",설정!$B$11,1)))</f>
        <v/>
      </c>
      <c r="F24" s="28">
        <f>IF($E24="","",$E24*(1+설정!$B$16))</f>
        <v/>
      </c>
      <c r="G24" s="29" t="n"/>
      <c r="H24" s="30">
        <f>IF($E24="","",IF($G24="",설정!$B$17,$G24))</f>
        <v/>
      </c>
      <c r="I24" s="28">
        <f>IF($F24="","",IFERROR(IF(설정!$B$19&lt;=1,ROUND(IF(설정!$B$18="판매가 마진",$F24/(1-$H24),$F24*(1+$H24)),0),CEILING(IF(설정!$B$18="판매가 마진",$F24/(1-$H24),$F24*(1+$H24)),설정!$B$19)),0))</f>
        <v/>
      </c>
      <c r="J24" s="28">
        <f>IF($I24="","",$I24-$F24)</f>
        <v/>
      </c>
      <c r="K24" s="30">
        <f>IF(N($I24)=0,"",$J24/$I24)</f>
        <v/>
      </c>
      <c r="L24" s="28">
        <f>IF($I24="","",$I24*$D24)</f>
        <v/>
      </c>
      <c r="M24" s="28">
        <f>IF($F24="","",$F24*$D24)</f>
        <v/>
      </c>
    </row>
    <row r="25">
      <c r="A25" s="24" t="n"/>
      <c r="B25" s="25" t="n"/>
      <c r="C25" s="22" t="n"/>
      <c r="D25" s="26" t="n"/>
      <c r="E25" s="27">
        <f>IF(N($C25)=0,"",$C25*IF($B25="USD",설정!$B$10,IF($B25="CNY",설정!$B$11,1)))</f>
        <v/>
      </c>
      <c r="F25" s="28">
        <f>IF($E25="","",$E25*(1+설정!$B$16))</f>
        <v/>
      </c>
      <c r="G25" s="29" t="n"/>
      <c r="H25" s="30">
        <f>IF($E25="","",IF($G25="",설정!$B$17,$G25))</f>
        <v/>
      </c>
      <c r="I25" s="28">
        <f>IF($F25="","",IFERROR(IF(설정!$B$19&lt;=1,ROUND(IF(설정!$B$18="판매가 마진",$F25/(1-$H25),$F25*(1+$H25)),0),CEILING(IF(설정!$B$18="판매가 마진",$F25/(1-$H25),$F25*(1+$H25)),설정!$B$19)),0))</f>
        <v/>
      </c>
      <c r="J25" s="28">
        <f>IF($I25="","",$I25-$F25)</f>
        <v/>
      </c>
      <c r="K25" s="30">
        <f>IF(N($I25)=0,"",$J25/$I25)</f>
        <v/>
      </c>
      <c r="L25" s="28">
        <f>IF($I25="","",$I25*$D25)</f>
        <v/>
      </c>
      <c r="M25" s="28">
        <f>IF($F25="","",$F25*$D25)</f>
        <v/>
      </c>
    </row>
    <row r="26">
      <c r="A26" s="24" t="n"/>
      <c r="B26" s="25" t="n"/>
      <c r="C26" s="22" t="n"/>
      <c r="D26" s="26" t="n"/>
      <c r="E26" s="27">
        <f>IF(N($C26)=0,"",$C26*IF($B26="USD",설정!$B$10,IF($B26="CNY",설정!$B$11,1)))</f>
        <v/>
      </c>
      <c r="F26" s="28">
        <f>IF($E26="","",$E26*(1+설정!$B$16))</f>
        <v/>
      </c>
      <c r="G26" s="29" t="n"/>
      <c r="H26" s="30">
        <f>IF($E26="","",IF($G26="",설정!$B$17,$G26))</f>
        <v/>
      </c>
      <c r="I26" s="28">
        <f>IF($F26="","",IFERROR(IF(설정!$B$19&lt;=1,ROUND(IF(설정!$B$18="판매가 마진",$F26/(1-$H26),$F26*(1+$H26)),0),CEILING(IF(설정!$B$18="판매가 마진",$F26/(1-$H26),$F26*(1+$H26)),설정!$B$19)),0))</f>
        <v/>
      </c>
      <c r="J26" s="28">
        <f>IF($I26="","",$I26-$F26)</f>
        <v/>
      </c>
      <c r="K26" s="30">
        <f>IF(N($I26)=0,"",$J26/$I26)</f>
        <v/>
      </c>
      <c r="L26" s="28">
        <f>IF($I26="","",$I26*$D26)</f>
        <v/>
      </c>
      <c r="M26" s="28">
        <f>IF($F26="","",$F26*$D26)</f>
        <v/>
      </c>
    </row>
    <row r="27">
      <c r="A27" s="24" t="n"/>
      <c r="B27" s="25" t="n"/>
      <c r="C27" s="22" t="n"/>
      <c r="D27" s="26" t="n"/>
      <c r="E27" s="27">
        <f>IF(N($C27)=0,"",$C27*IF($B27="USD",설정!$B$10,IF($B27="CNY",설정!$B$11,1)))</f>
        <v/>
      </c>
      <c r="F27" s="28">
        <f>IF($E27="","",$E27*(1+설정!$B$16))</f>
        <v/>
      </c>
      <c r="G27" s="29" t="n"/>
      <c r="H27" s="30">
        <f>IF($E27="","",IF($G27="",설정!$B$17,$G27))</f>
        <v/>
      </c>
      <c r="I27" s="28">
        <f>IF($F27="","",IFERROR(IF(설정!$B$19&lt;=1,ROUND(IF(설정!$B$18="판매가 마진",$F27/(1-$H27),$F27*(1+$H27)),0),CEILING(IF(설정!$B$18="판매가 마진",$F27/(1-$H27),$F27*(1+$H27)),설정!$B$19)),0))</f>
        <v/>
      </c>
      <c r="J27" s="28">
        <f>IF($I27="","",$I27-$F27)</f>
        <v/>
      </c>
      <c r="K27" s="30">
        <f>IF(N($I27)=0,"",$J27/$I27)</f>
        <v/>
      </c>
      <c r="L27" s="28">
        <f>IF($I27="","",$I27*$D27)</f>
        <v/>
      </c>
      <c r="M27" s="28">
        <f>IF($F27="","",$F27*$D27)</f>
        <v/>
      </c>
    </row>
    <row r="28">
      <c r="A28" s="24" t="n"/>
      <c r="B28" s="25" t="n"/>
      <c r="C28" s="22" t="n"/>
      <c r="D28" s="26" t="n"/>
      <c r="E28" s="27">
        <f>IF(N($C28)=0,"",$C28*IF($B28="USD",설정!$B$10,IF($B28="CNY",설정!$B$11,1)))</f>
        <v/>
      </c>
      <c r="F28" s="28">
        <f>IF($E28="","",$E28*(1+설정!$B$16))</f>
        <v/>
      </c>
      <c r="G28" s="29" t="n"/>
      <c r="H28" s="30">
        <f>IF($E28="","",IF($G28="",설정!$B$17,$G28))</f>
        <v/>
      </c>
      <c r="I28" s="28">
        <f>IF($F28="","",IFERROR(IF(설정!$B$19&lt;=1,ROUND(IF(설정!$B$18="판매가 마진",$F28/(1-$H28),$F28*(1+$H28)),0),CEILING(IF(설정!$B$18="판매가 마진",$F28/(1-$H28),$F28*(1+$H28)),설정!$B$19)),0))</f>
        <v/>
      </c>
      <c r="J28" s="28">
        <f>IF($I28="","",$I28-$F28)</f>
        <v/>
      </c>
      <c r="K28" s="30">
        <f>IF(N($I28)=0,"",$J28/$I28)</f>
        <v/>
      </c>
      <c r="L28" s="28">
        <f>IF($I28="","",$I28*$D28)</f>
        <v/>
      </c>
      <c r="M28" s="28">
        <f>IF($F28="","",$F28*$D28)</f>
        <v/>
      </c>
    </row>
    <row r="29">
      <c r="A29" s="24" t="n"/>
      <c r="B29" s="25" t="n"/>
      <c r="C29" s="22" t="n"/>
      <c r="D29" s="26" t="n"/>
      <c r="E29" s="27">
        <f>IF(N($C29)=0,"",$C29*IF($B29="USD",설정!$B$10,IF($B29="CNY",설정!$B$11,1)))</f>
        <v/>
      </c>
      <c r="F29" s="28">
        <f>IF($E29="","",$E29*(1+설정!$B$16))</f>
        <v/>
      </c>
      <c r="G29" s="29" t="n"/>
      <c r="H29" s="30">
        <f>IF($E29="","",IF($G29="",설정!$B$17,$G29))</f>
        <v/>
      </c>
      <c r="I29" s="28">
        <f>IF($F29="","",IFERROR(IF(설정!$B$19&lt;=1,ROUND(IF(설정!$B$18="판매가 마진",$F29/(1-$H29),$F29*(1+$H29)),0),CEILING(IF(설정!$B$18="판매가 마진",$F29/(1-$H29),$F29*(1+$H29)),설정!$B$19)),0))</f>
        <v/>
      </c>
      <c r="J29" s="28">
        <f>IF($I29="","",$I29-$F29)</f>
        <v/>
      </c>
      <c r="K29" s="30">
        <f>IF(N($I29)=0,"",$J29/$I29)</f>
        <v/>
      </c>
      <c r="L29" s="28">
        <f>IF($I29="","",$I29*$D29)</f>
        <v/>
      </c>
      <c r="M29" s="28">
        <f>IF($F29="","",$F29*$D29)</f>
        <v/>
      </c>
    </row>
    <row r="30">
      <c r="A30" s="24" t="n"/>
      <c r="B30" s="25" t="n"/>
      <c r="C30" s="22" t="n"/>
      <c r="D30" s="26" t="n"/>
      <c r="E30" s="27">
        <f>IF(N($C30)=0,"",$C30*IF($B30="USD",설정!$B$10,IF($B30="CNY",설정!$B$11,1)))</f>
        <v/>
      </c>
      <c r="F30" s="28">
        <f>IF($E30="","",$E30*(1+설정!$B$16))</f>
        <v/>
      </c>
      <c r="G30" s="29" t="n"/>
      <c r="H30" s="30">
        <f>IF($E30="","",IF($G30="",설정!$B$17,$G30))</f>
        <v/>
      </c>
      <c r="I30" s="28">
        <f>IF($F30="","",IFERROR(IF(설정!$B$19&lt;=1,ROUND(IF(설정!$B$18="판매가 마진",$F30/(1-$H30),$F30*(1+$H30)),0),CEILING(IF(설정!$B$18="판매가 마진",$F30/(1-$H30),$F30*(1+$H30)),설정!$B$19)),0))</f>
        <v/>
      </c>
      <c r="J30" s="28">
        <f>IF($I30="","",$I30-$F30)</f>
        <v/>
      </c>
      <c r="K30" s="30">
        <f>IF(N($I30)=0,"",$J30/$I30)</f>
        <v/>
      </c>
      <c r="L30" s="28">
        <f>IF($I30="","",$I30*$D30)</f>
        <v/>
      </c>
      <c r="M30" s="28">
        <f>IF($F30="","",$F30*$D30)</f>
        <v/>
      </c>
    </row>
    <row r="31">
      <c r="A31" s="24" t="n"/>
      <c r="B31" s="25" t="n"/>
      <c r="C31" s="22" t="n"/>
      <c r="D31" s="26" t="n"/>
      <c r="E31" s="27">
        <f>IF(N($C31)=0,"",$C31*IF($B31="USD",설정!$B$10,IF($B31="CNY",설정!$B$11,1)))</f>
        <v/>
      </c>
      <c r="F31" s="28">
        <f>IF($E31="","",$E31*(1+설정!$B$16))</f>
        <v/>
      </c>
      <c r="G31" s="29" t="n"/>
      <c r="H31" s="30">
        <f>IF($E31="","",IF($G31="",설정!$B$17,$G31))</f>
        <v/>
      </c>
      <c r="I31" s="28">
        <f>IF($F31="","",IFERROR(IF(설정!$B$19&lt;=1,ROUND(IF(설정!$B$18="판매가 마진",$F31/(1-$H31),$F31*(1+$H31)),0),CEILING(IF(설정!$B$18="판매가 마진",$F31/(1-$H31),$F31*(1+$H31)),설정!$B$19)),0))</f>
        <v/>
      </c>
      <c r="J31" s="28">
        <f>IF($I31="","",$I31-$F31)</f>
        <v/>
      </c>
      <c r="K31" s="30">
        <f>IF(N($I31)=0,"",$J31/$I31)</f>
        <v/>
      </c>
      <c r="L31" s="28">
        <f>IF($I31="","",$I31*$D31)</f>
        <v/>
      </c>
      <c r="M31" s="28">
        <f>IF($F31="","",$F31*$D31)</f>
        <v/>
      </c>
    </row>
    <row r="32">
      <c r="A32" s="24" t="n"/>
      <c r="B32" s="25" t="n"/>
      <c r="C32" s="22" t="n"/>
      <c r="D32" s="26" t="n"/>
      <c r="E32" s="27">
        <f>IF(N($C32)=0,"",$C32*IF($B32="USD",설정!$B$10,IF($B32="CNY",설정!$B$11,1)))</f>
        <v/>
      </c>
      <c r="F32" s="28">
        <f>IF($E32="","",$E32*(1+설정!$B$16))</f>
        <v/>
      </c>
      <c r="G32" s="29" t="n"/>
      <c r="H32" s="30">
        <f>IF($E32="","",IF($G32="",설정!$B$17,$G32))</f>
        <v/>
      </c>
      <c r="I32" s="28">
        <f>IF($F32="","",IFERROR(IF(설정!$B$19&lt;=1,ROUND(IF(설정!$B$18="판매가 마진",$F32/(1-$H32),$F32*(1+$H32)),0),CEILING(IF(설정!$B$18="판매가 마진",$F32/(1-$H32),$F32*(1+$H32)),설정!$B$19)),0))</f>
        <v/>
      </c>
      <c r="J32" s="28">
        <f>IF($I32="","",$I32-$F32)</f>
        <v/>
      </c>
      <c r="K32" s="30">
        <f>IF(N($I32)=0,"",$J32/$I32)</f>
        <v/>
      </c>
      <c r="L32" s="28">
        <f>IF($I32="","",$I32*$D32)</f>
        <v/>
      </c>
      <c r="M32" s="28">
        <f>IF($F32="","",$F32*$D32)</f>
        <v/>
      </c>
    </row>
    <row r="33">
      <c r="A33" s="24" t="n"/>
      <c r="B33" s="25" t="n"/>
      <c r="C33" s="22" t="n"/>
      <c r="D33" s="26" t="n"/>
      <c r="E33" s="27">
        <f>IF(N($C33)=0,"",$C33*IF($B33="USD",설정!$B$10,IF($B33="CNY",설정!$B$11,1)))</f>
        <v/>
      </c>
      <c r="F33" s="28">
        <f>IF($E33="","",$E33*(1+설정!$B$16))</f>
        <v/>
      </c>
      <c r="G33" s="29" t="n"/>
      <c r="H33" s="30">
        <f>IF($E33="","",IF($G33="",설정!$B$17,$G33))</f>
        <v/>
      </c>
      <c r="I33" s="28">
        <f>IF($F33="","",IFERROR(IF(설정!$B$19&lt;=1,ROUND(IF(설정!$B$18="판매가 마진",$F33/(1-$H33),$F33*(1+$H33)),0),CEILING(IF(설정!$B$18="판매가 마진",$F33/(1-$H33),$F33*(1+$H33)),설정!$B$19)),0))</f>
        <v/>
      </c>
      <c r="J33" s="28">
        <f>IF($I33="","",$I33-$F33)</f>
        <v/>
      </c>
      <c r="K33" s="30">
        <f>IF(N($I33)=0,"",$J33/$I33)</f>
        <v/>
      </c>
      <c r="L33" s="28">
        <f>IF($I33="","",$I33*$D33)</f>
        <v/>
      </c>
      <c r="M33" s="28">
        <f>IF($F33="","",$F33*$D33)</f>
        <v/>
      </c>
    </row>
    <row r="34">
      <c r="A34" s="24" t="n"/>
      <c r="B34" s="25" t="n"/>
      <c r="C34" s="22" t="n"/>
      <c r="D34" s="26" t="n"/>
      <c r="E34" s="27">
        <f>IF(N($C34)=0,"",$C34*IF($B34="USD",설정!$B$10,IF($B34="CNY",설정!$B$11,1)))</f>
        <v/>
      </c>
      <c r="F34" s="28">
        <f>IF($E34="","",$E34*(1+설정!$B$16))</f>
        <v/>
      </c>
      <c r="G34" s="29" t="n"/>
      <c r="H34" s="30">
        <f>IF($E34="","",IF($G34="",설정!$B$17,$G34))</f>
        <v/>
      </c>
      <c r="I34" s="28">
        <f>IF($F34="","",IFERROR(IF(설정!$B$19&lt;=1,ROUND(IF(설정!$B$18="판매가 마진",$F34/(1-$H34),$F34*(1+$H34)),0),CEILING(IF(설정!$B$18="판매가 마진",$F34/(1-$H34),$F34*(1+$H34)),설정!$B$19)),0))</f>
        <v/>
      </c>
      <c r="J34" s="28">
        <f>IF($I34="","",$I34-$F34)</f>
        <v/>
      </c>
      <c r="K34" s="30">
        <f>IF(N($I34)=0,"",$J34/$I34)</f>
        <v/>
      </c>
      <c r="L34" s="28">
        <f>IF($I34="","",$I34*$D34)</f>
        <v/>
      </c>
      <c r="M34" s="28">
        <f>IF($F34="","",$F34*$D34)</f>
        <v/>
      </c>
    </row>
    <row r="35">
      <c r="A35" s="24" t="n"/>
      <c r="B35" s="25" t="n"/>
      <c r="C35" s="22" t="n"/>
      <c r="D35" s="26" t="n"/>
      <c r="E35" s="27">
        <f>IF(N($C35)=0,"",$C35*IF($B35="USD",설정!$B$10,IF($B35="CNY",설정!$B$11,1)))</f>
        <v/>
      </c>
      <c r="F35" s="28">
        <f>IF($E35="","",$E35*(1+설정!$B$16))</f>
        <v/>
      </c>
      <c r="G35" s="29" t="n"/>
      <c r="H35" s="30">
        <f>IF($E35="","",IF($G35="",설정!$B$17,$G35))</f>
        <v/>
      </c>
      <c r="I35" s="28">
        <f>IF($F35="","",IFERROR(IF(설정!$B$19&lt;=1,ROUND(IF(설정!$B$18="판매가 마진",$F35/(1-$H35),$F35*(1+$H35)),0),CEILING(IF(설정!$B$18="판매가 마진",$F35/(1-$H35),$F35*(1+$H35)),설정!$B$19)),0))</f>
        <v/>
      </c>
      <c r="J35" s="28">
        <f>IF($I35="","",$I35-$F35)</f>
        <v/>
      </c>
      <c r="K35" s="30">
        <f>IF(N($I35)=0,"",$J35/$I35)</f>
        <v/>
      </c>
      <c r="L35" s="28">
        <f>IF($I35="","",$I35*$D35)</f>
        <v/>
      </c>
      <c r="M35" s="28">
        <f>IF($F35="","",$F35*$D35)</f>
        <v/>
      </c>
    </row>
    <row r="36">
      <c r="A36" s="24" t="n"/>
      <c r="B36" s="25" t="n"/>
      <c r="C36" s="22" t="n"/>
      <c r="D36" s="26" t="n"/>
      <c r="E36" s="27">
        <f>IF(N($C36)=0,"",$C36*IF($B36="USD",설정!$B$10,IF($B36="CNY",설정!$B$11,1)))</f>
        <v/>
      </c>
      <c r="F36" s="28">
        <f>IF($E36="","",$E36*(1+설정!$B$16))</f>
        <v/>
      </c>
      <c r="G36" s="29" t="n"/>
      <c r="H36" s="30">
        <f>IF($E36="","",IF($G36="",설정!$B$17,$G36))</f>
        <v/>
      </c>
      <c r="I36" s="28">
        <f>IF($F36="","",IFERROR(IF(설정!$B$19&lt;=1,ROUND(IF(설정!$B$18="판매가 마진",$F36/(1-$H36),$F36*(1+$H36)),0),CEILING(IF(설정!$B$18="판매가 마진",$F36/(1-$H36),$F36*(1+$H36)),설정!$B$19)),0))</f>
        <v/>
      </c>
      <c r="J36" s="28">
        <f>IF($I36="","",$I36-$F36)</f>
        <v/>
      </c>
      <c r="K36" s="30">
        <f>IF(N($I36)=0,"",$J36/$I36)</f>
        <v/>
      </c>
      <c r="L36" s="28">
        <f>IF($I36="","",$I36*$D36)</f>
        <v/>
      </c>
      <c r="M36" s="28">
        <f>IF($F36="","",$F36*$D36)</f>
        <v/>
      </c>
    </row>
    <row r="37">
      <c r="A37" s="24" t="n"/>
      <c r="B37" s="25" t="n"/>
      <c r="C37" s="22" t="n"/>
      <c r="D37" s="26" t="n"/>
      <c r="E37" s="27">
        <f>IF(N($C37)=0,"",$C37*IF($B37="USD",설정!$B$10,IF($B37="CNY",설정!$B$11,1)))</f>
        <v/>
      </c>
      <c r="F37" s="28">
        <f>IF($E37="","",$E37*(1+설정!$B$16))</f>
        <v/>
      </c>
      <c r="G37" s="29" t="n"/>
      <c r="H37" s="30">
        <f>IF($E37="","",IF($G37="",설정!$B$17,$G37))</f>
        <v/>
      </c>
      <c r="I37" s="28">
        <f>IF($F37="","",IFERROR(IF(설정!$B$19&lt;=1,ROUND(IF(설정!$B$18="판매가 마진",$F37/(1-$H37),$F37*(1+$H37)),0),CEILING(IF(설정!$B$18="판매가 마진",$F37/(1-$H37),$F37*(1+$H37)),설정!$B$19)),0))</f>
        <v/>
      </c>
      <c r="J37" s="28">
        <f>IF($I37="","",$I37-$F37)</f>
        <v/>
      </c>
      <c r="K37" s="30">
        <f>IF(N($I37)=0,"",$J37/$I37)</f>
        <v/>
      </c>
      <c r="L37" s="28">
        <f>IF($I37="","",$I37*$D37)</f>
        <v/>
      </c>
      <c r="M37" s="28">
        <f>IF($F37="","",$F37*$D37)</f>
        <v/>
      </c>
    </row>
    <row r="38">
      <c r="A38" s="24" t="n"/>
      <c r="B38" s="25" t="n"/>
      <c r="C38" s="22" t="n"/>
      <c r="D38" s="26" t="n"/>
      <c r="E38" s="27">
        <f>IF(N($C38)=0,"",$C38*IF($B38="USD",설정!$B$10,IF($B38="CNY",설정!$B$11,1)))</f>
        <v/>
      </c>
      <c r="F38" s="28">
        <f>IF($E38="","",$E38*(1+설정!$B$16))</f>
        <v/>
      </c>
      <c r="G38" s="29" t="n"/>
      <c r="H38" s="30">
        <f>IF($E38="","",IF($G38="",설정!$B$17,$G38))</f>
        <v/>
      </c>
      <c r="I38" s="28">
        <f>IF($F38="","",IFERROR(IF(설정!$B$19&lt;=1,ROUND(IF(설정!$B$18="판매가 마진",$F38/(1-$H38),$F38*(1+$H38)),0),CEILING(IF(설정!$B$18="판매가 마진",$F38/(1-$H38),$F38*(1+$H38)),설정!$B$19)),0))</f>
        <v/>
      </c>
      <c r="J38" s="28">
        <f>IF($I38="","",$I38-$F38)</f>
        <v/>
      </c>
      <c r="K38" s="30">
        <f>IF(N($I38)=0,"",$J38/$I38)</f>
        <v/>
      </c>
      <c r="L38" s="28">
        <f>IF($I38="","",$I38*$D38)</f>
        <v/>
      </c>
      <c r="M38" s="28">
        <f>IF($F38="","",$F38*$D38)</f>
        <v/>
      </c>
    </row>
    <row r="39">
      <c r="A39" s="24" t="n"/>
      <c r="B39" s="25" t="n"/>
      <c r="C39" s="22" t="n"/>
      <c r="D39" s="26" t="n"/>
      <c r="E39" s="27">
        <f>IF(N($C39)=0,"",$C39*IF($B39="USD",설정!$B$10,IF($B39="CNY",설정!$B$11,1)))</f>
        <v/>
      </c>
      <c r="F39" s="28">
        <f>IF($E39="","",$E39*(1+설정!$B$16))</f>
        <v/>
      </c>
      <c r="G39" s="29" t="n"/>
      <c r="H39" s="30">
        <f>IF($E39="","",IF($G39="",설정!$B$17,$G39))</f>
        <v/>
      </c>
      <c r="I39" s="28">
        <f>IF($F39="","",IFERROR(IF(설정!$B$19&lt;=1,ROUND(IF(설정!$B$18="판매가 마진",$F39/(1-$H39),$F39*(1+$H39)),0),CEILING(IF(설정!$B$18="판매가 마진",$F39/(1-$H39),$F39*(1+$H39)),설정!$B$19)),0))</f>
        <v/>
      </c>
      <c r="J39" s="28">
        <f>IF($I39="","",$I39-$F39)</f>
        <v/>
      </c>
      <c r="K39" s="30">
        <f>IF(N($I39)=0,"",$J39/$I39)</f>
        <v/>
      </c>
      <c r="L39" s="28">
        <f>IF($I39="","",$I39*$D39)</f>
        <v/>
      </c>
      <c r="M39" s="28">
        <f>IF($F39="","",$F39*$D39)</f>
        <v/>
      </c>
    </row>
    <row r="40">
      <c r="A40" s="24" t="n"/>
      <c r="B40" s="25" t="n"/>
      <c r="C40" s="22" t="n"/>
      <c r="D40" s="26" t="n"/>
      <c r="E40" s="27">
        <f>IF(N($C40)=0,"",$C40*IF($B40="USD",설정!$B$10,IF($B40="CNY",설정!$B$11,1)))</f>
        <v/>
      </c>
      <c r="F40" s="28">
        <f>IF($E40="","",$E40*(1+설정!$B$16))</f>
        <v/>
      </c>
      <c r="G40" s="29" t="n"/>
      <c r="H40" s="30">
        <f>IF($E40="","",IF($G40="",설정!$B$17,$G40))</f>
        <v/>
      </c>
      <c r="I40" s="28">
        <f>IF($F40="","",IFERROR(IF(설정!$B$19&lt;=1,ROUND(IF(설정!$B$18="판매가 마진",$F40/(1-$H40),$F40*(1+$H40)),0),CEILING(IF(설정!$B$18="판매가 마진",$F40/(1-$H40),$F40*(1+$H40)),설정!$B$19)),0))</f>
        <v/>
      </c>
      <c r="J40" s="28">
        <f>IF($I40="","",$I40-$F40)</f>
        <v/>
      </c>
      <c r="K40" s="30">
        <f>IF(N($I40)=0,"",$J40/$I40)</f>
        <v/>
      </c>
      <c r="L40" s="28">
        <f>IF($I40="","",$I40*$D40)</f>
        <v/>
      </c>
      <c r="M40" s="28">
        <f>IF($F40="","",$F40*$D40)</f>
        <v/>
      </c>
    </row>
    <row r="41">
      <c r="A41" s="24" t="n"/>
      <c r="B41" s="25" t="n"/>
      <c r="C41" s="22" t="n"/>
      <c r="D41" s="26" t="n"/>
      <c r="E41" s="27">
        <f>IF(N($C41)=0,"",$C41*IF($B41="USD",설정!$B$10,IF($B41="CNY",설정!$B$11,1)))</f>
        <v/>
      </c>
      <c r="F41" s="28">
        <f>IF($E41="","",$E41*(1+설정!$B$16))</f>
        <v/>
      </c>
      <c r="G41" s="29" t="n"/>
      <c r="H41" s="30">
        <f>IF($E41="","",IF($G41="",설정!$B$17,$G41))</f>
        <v/>
      </c>
      <c r="I41" s="28">
        <f>IF($F41="","",IFERROR(IF(설정!$B$19&lt;=1,ROUND(IF(설정!$B$18="판매가 마진",$F41/(1-$H41),$F41*(1+$H41)),0),CEILING(IF(설정!$B$18="판매가 마진",$F41/(1-$H41),$F41*(1+$H41)),설정!$B$19)),0))</f>
        <v/>
      </c>
      <c r="J41" s="28">
        <f>IF($I41="","",$I41-$F41)</f>
        <v/>
      </c>
      <c r="K41" s="30">
        <f>IF(N($I41)=0,"",$J41/$I41)</f>
        <v/>
      </c>
      <c r="L41" s="28">
        <f>IF($I41="","",$I41*$D41)</f>
        <v/>
      </c>
      <c r="M41" s="28">
        <f>IF($F41="","",$F41*$D41)</f>
        <v/>
      </c>
    </row>
    <row r="42">
      <c r="A42" s="24" t="n"/>
      <c r="B42" s="25" t="n"/>
      <c r="C42" s="22" t="n"/>
      <c r="D42" s="26" t="n"/>
      <c r="E42" s="27">
        <f>IF(N($C42)=0,"",$C42*IF($B42="USD",설정!$B$10,IF($B42="CNY",설정!$B$11,1)))</f>
        <v/>
      </c>
      <c r="F42" s="28">
        <f>IF($E42="","",$E42*(1+설정!$B$16))</f>
        <v/>
      </c>
      <c r="G42" s="29" t="n"/>
      <c r="H42" s="30">
        <f>IF($E42="","",IF($G42="",설정!$B$17,$G42))</f>
        <v/>
      </c>
      <c r="I42" s="28">
        <f>IF($F42="","",IFERROR(IF(설정!$B$19&lt;=1,ROUND(IF(설정!$B$18="판매가 마진",$F42/(1-$H42),$F42*(1+$H42)),0),CEILING(IF(설정!$B$18="판매가 마진",$F42/(1-$H42),$F42*(1+$H42)),설정!$B$19)),0))</f>
        <v/>
      </c>
      <c r="J42" s="28">
        <f>IF($I42="","",$I42-$F42)</f>
        <v/>
      </c>
      <c r="K42" s="30">
        <f>IF(N($I42)=0,"",$J42/$I42)</f>
        <v/>
      </c>
      <c r="L42" s="28">
        <f>IF($I42="","",$I42*$D42)</f>
        <v/>
      </c>
      <c r="M42" s="28">
        <f>IF($F42="","",$F42*$D42)</f>
        <v/>
      </c>
    </row>
    <row r="43">
      <c r="A43" s="24" t="n"/>
      <c r="B43" s="25" t="n"/>
      <c r="C43" s="22" t="n"/>
      <c r="D43" s="26" t="n"/>
      <c r="E43" s="27">
        <f>IF(N($C43)=0,"",$C43*IF($B43="USD",설정!$B$10,IF($B43="CNY",설정!$B$11,1)))</f>
        <v/>
      </c>
      <c r="F43" s="28">
        <f>IF($E43="","",$E43*(1+설정!$B$16))</f>
        <v/>
      </c>
      <c r="G43" s="29" t="n"/>
      <c r="H43" s="30">
        <f>IF($E43="","",IF($G43="",설정!$B$17,$G43))</f>
        <v/>
      </c>
      <c r="I43" s="28">
        <f>IF($F43="","",IFERROR(IF(설정!$B$19&lt;=1,ROUND(IF(설정!$B$18="판매가 마진",$F43/(1-$H43),$F43*(1+$H43)),0),CEILING(IF(설정!$B$18="판매가 마진",$F43/(1-$H43),$F43*(1+$H43)),설정!$B$19)),0))</f>
        <v/>
      </c>
      <c r="J43" s="28">
        <f>IF($I43="","",$I43-$F43)</f>
        <v/>
      </c>
      <c r="K43" s="30">
        <f>IF(N($I43)=0,"",$J43/$I43)</f>
        <v/>
      </c>
      <c r="L43" s="28">
        <f>IF($I43="","",$I43*$D43)</f>
        <v/>
      </c>
      <c r="M43" s="28">
        <f>IF($F43="","",$F43*$D43)</f>
        <v/>
      </c>
    </row>
    <row r="44">
      <c r="A44" s="24" t="n"/>
      <c r="B44" s="25" t="n"/>
      <c r="C44" s="22" t="n"/>
      <c r="D44" s="26" t="n"/>
      <c r="E44" s="27">
        <f>IF(N($C44)=0,"",$C44*IF($B44="USD",설정!$B$10,IF($B44="CNY",설정!$B$11,1)))</f>
        <v/>
      </c>
      <c r="F44" s="28">
        <f>IF($E44="","",$E44*(1+설정!$B$16))</f>
        <v/>
      </c>
      <c r="G44" s="29" t="n"/>
      <c r="H44" s="30">
        <f>IF($E44="","",IF($G44="",설정!$B$17,$G44))</f>
        <v/>
      </c>
      <c r="I44" s="28">
        <f>IF($F44="","",IFERROR(IF(설정!$B$19&lt;=1,ROUND(IF(설정!$B$18="판매가 마진",$F44/(1-$H44),$F44*(1+$H44)),0),CEILING(IF(설정!$B$18="판매가 마진",$F44/(1-$H44),$F44*(1+$H44)),설정!$B$19)),0))</f>
        <v/>
      </c>
      <c r="J44" s="28">
        <f>IF($I44="","",$I44-$F44)</f>
        <v/>
      </c>
      <c r="K44" s="30">
        <f>IF(N($I44)=0,"",$J44/$I44)</f>
        <v/>
      </c>
      <c r="L44" s="28">
        <f>IF($I44="","",$I44*$D44)</f>
        <v/>
      </c>
      <c r="M44" s="28">
        <f>IF($F44="","",$F44*$D44)</f>
        <v/>
      </c>
    </row>
    <row r="45">
      <c r="A45" s="31" t="inlineStr">
        <is>
          <t>합계</t>
        </is>
      </c>
      <c r="B45" s="32" t="n"/>
      <c r="C45" s="32" t="n"/>
      <c r="D45" s="33">
        <f>SUM(D5:D44)</f>
        <v/>
      </c>
      <c r="E45" s="32" t="n"/>
      <c r="F45" s="32" t="n"/>
      <c r="G45" s="32" t="n"/>
      <c r="H45" s="32" t="n"/>
      <c r="I45" s="32" t="n"/>
      <c r="J45" s="34">
        <f>SUM(J5:J44)</f>
        <v/>
      </c>
      <c r="K45" s="35">
        <f>IFERROR(SUM(J5:J44)/SUM(L5:L44),0)</f>
        <v/>
      </c>
      <c r="L45" s="34">
        <f>SUM(L5:L44)</f>
        <v/>
      </c>
      <c r="M45" s="34">
        <f>SUM(M5:M44)</f>
        <v/>
      </c>
    </row>
    <row r="47">
      <c r="A47" s="5" t="inlineStr">
        <is>
          <t>파란 글씨 칸(A~D, G)만 입력하세요. 나머지는 수식입니다.</t>
        </is>
      </c>
    </row>
    <row r="48">
      <c r="A48" s="5" t="inlineStr">
        <is>
          <t>G열 이윤율을 비워 두면 설정 시트의 기본 이윤율이 적용됩니다.</t>
        </is>
      </c>
    </row>
    <row r="49">
      <c r="A49" s="4" t="inlineStr">
        <is>
          <t>샘플 6개 품목은 형식을 보여주기 위한 예시입니다. 실제 품목으로 교체하세요.</t>
        </is>
      </c>
    </row>
    <row r="50">
      <c r="A50" s="5" t="inlineStr">
        <is>
          <t>표시 금액은 모두 부가세 별도, 태성정밀 공급가 기준입니다.</t>
        </is>
      </c>
    </row>
  </sheetData>
  <dataValidations count="1">
    <dataValidation sqref="B5:B44" showDropDown="0" showInputMessage="0" showErrorMessage="0" allowBlank="1" type="list">
      <formula1>"USD,CNY,KRW"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2026-09-07T02:44:17Z</dcterms:created>
  <dcterms:modified xsi:type="dcterms:W3CDTF">2026-09-07T02:44:17Z</dcterms:modified>
</cp:coreProperties>
</file>