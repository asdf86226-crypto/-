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사용안내" sheetId="1" state="visible" r:id="rId1"/>
    <sheet name="설정" sheetId="2" state="visible" r:id="rId2"/>
    <sheet name="월평균환율" sheetId="3" state="visible" r:id="rId3"/>
    <sheet name="판매가산출" sheetId="4" state="visible" r:id="rId4"/>
    <sheet name="상품판매가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"/>
    <numFmt numFmtId="166" formatCode="#,##0;(#,##0);-"/>
  </numFmts>
  <fonts count="10">
    <font>
      <name val="Calibri"/>
      <family val="2"/>
      <color theme="1"/>
      <sz val="11"/>
      <scheme val="minor"/>
    </font>
    <font>
      <name val="맑은 고딕"/>
      <b val="1"/>
      <sz val="14"/>
    </font>
    <font>
      <name val="맑은 고딕"/>
      <color rgb="00808080"/>
      <sz val="9"/>
    </font>
    <font>
      <name val="맑은 고딕"/>
      <b val="1"/>
      <color rgb="0014606B"/>
      <sz val="10"/>
    </font>
    <font>
      <name val="맑은 고딕"/>
      <sz val="10"/>
    </font>
    <font>
      <name val="맑은 고딕"/>
      <color rgb="000000FF"/>
      <sz val="10"/>
    </font>
    <font>
      <name val="맑은 고딕"/>
      <color rgb="00000000"/>
      <sz val="10"/>
    </font>
    <font>
      <name val="맑은 고딕"/>
      <b val="1"/>
      <sz val="10"/>
    </font>
    <font>
      <name val="맑은 고딕"/>
      <color rgb="00008000"/>
      <sz val="10"/>
    </font>
    <font>
      <name val="맑은 고딕"/>
      <color rgb="00C00000"/>
      <sz val="9"/>
    </font>
  </fonts>
  <fills count="6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8EFEE"/>
      </patternFill>
    </fill>
    <fill>
      <patternFill patternType="solid">
        <fgColor rgb="00FFF6D5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0" fontId="9" fillId="0" borderId="0" pivotButton="0" quotePrefix="0" xfId="0"/>
    <xf numFmtId="0" fontId="2" fillId="0" borderId="0" pivotButton="0" quotePrefix="0" xfId="0"/>
    <xf numFmtId="0" fontId="5" fillId="2" borderId="1" applyAlignment="1" pivotButton="0" quotePrefix="0" xfId="0">
      <alignment horizontal="center" vertical="center"/>
    </xf>
    <xf numFmtId="164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49" fontId="5" fillId="0" borderId="1" applyAlignment="1" pivotButton="0" quotePrefix="0" xfId="0">
      <alignment horizontal="center" vertical="center"/>
    </xf>
    <xf numFmtId="0" fontId="7" fillId="0" borderId="0" pivotButton="0" quotePrefix="0" xfId="0"/>
    <xf numFmtId="4" fontId="8" fillId="0" borderId="1" pivotButton="0" quotePrefix="0" xfId="0"/>
    <xf numFmtId="4" fontId="5" fillId="2" borderId="1" pivotButton="0" quotePrefix="0" xfId="0"/>
    <xf numFmtId="165" fontId="5" fillId="2" borderId="1" pivotButton="0" quotePrefix="0" xfId="0"/>
    <xf numFmtId="0" fontId="6" fillId="0" borderId="0" pivotButton="0" quotePrefix="0" xfId="0"/>
    <xf numFmtId="3" fontId="5" fillId="2" borderId="1" pivotButton="0" quotePrefix="0" xfId="0"/>
    <xf numFmtId="0" fontId="5" fillId="0" borderId="0" pivotButton="0" quotePrefix="0" xfId="0"/>
    <xf numFmtId="0" fontId="4" fillId="2" borderId="0" pivotButton="0" quotePrefix="0" xfId="0"/>
    <xf numFmtId="0" fontId="8" fillId="0" borderId="0" pivotButton="0" quotePrefix="0" xfId="0"/>
    <xf numFmtId="0" fontId="7" fillId="3" borderId="1" applyAlignment="1" pivotButton="0" quotePrefix="0" xfId="0">
      <alignment horizontal="center" vertical="center"/>
    </xf>
    <xf numFmtId="49" fontId="5" fillId="4" borderId="1" applyAlignment="1" pivotButton="0" quotePrefix="0" xfId="0">
      <alignment horizontal="center" vertical="center"/>
    </xf>
    <xf numFmtId="4" fontId="5" fillId="4" borderId="1" pivotButton="0" quotePrefix="0" xfId="0"/>
    <xf numFmtId="49" fontId="5" fillId="0" borderId="1" applyAlignment="1" pivotButton="0" quotePrefix="0" xfId="0">
      <alignment horizontal="center"/>
    </xf>
    <xf numFmtId="4" fontId="5" fillId="0" borderId="1" pivotButton="0" quotePrefix="0" xfId="0"/>
    <xf numFmtId="0" fontId="7" fillId="3" borderId="1" applyAlignment="1" pivotButton="0" quotePrefix="0" xfId="0">
      <alignment horizontal="center" vertical="center" wrapText="1"/>
    </xf>
    <xf numFmtId="0" fontId="5" fillId="0" borderId="1" pivotButton="0" quotePrefix="0" xfId="0"/>
    <xf numFmtId="0" fontId="5" fillId="0" borderId="1" applyAlignment="1" pivotButton="0" quotePrefix="0" xfId="0">
      <alignment horizontal="center" vertical="center"/>
    </xf>
    <xf numFmtId="3" fontId="5" fillId="0" borderId="1" pivotButton="0" quotePrefix="0" xfId="0"/>
    <xf numFmtId="166" fontId="8" fillId="0" borderId="1" pivotButton="0" quotePrefix="0" xfId="0"/>
    <xf numFmtId="166" fontId="6" fillId="0" borderId="1" pivotButton="0" quotePrefix="0" xfId="0"/>
    <xf numFmtId="165" fontId="5" fillId="0" borderId="1" pivotButton="0" quotePrefix="0" xfId="0"/>
    <xf numFmtId="165" fontId="6" fillId="0" borderId="1" pivotButton="0" quotePrefix="0" xfId="0"/>
    <xf numFmtId="0" fontId="7" fillId="5" borderId="1" pivotButton="0" quotePrefix="0" xfId="0"/>
    <xf numFmtId="0" fontId="0" fillId="5" borderId="1" pivotButton="0" quotePrefix="0" xfId="0"/>
    <xf numFmtId="3" fontId="7" fillId="5" borderId="1" pivotButton="0" quotePrefix="0" xfId="0"/>
    <xf numFmtId="166" fontId="7" fillId="5" borderId="1" pivotButton="0" quotePrefix="0" xfId="0"/>
    <xf numFmtId="165" fontId="7" fillId="5" borderId="1" pivotButton="0" quotePrefix="0" xfId="0"/>
    <xf numFmtId="166" fontId="5" fillId="0" borderId="1" pivotButton="0" quotePrefix="0" xfId="0"/>
    <xf numFmtId="166" fontId="5" fillId="2" borderId="1" pivotButton="0" quotePrefix="0" xfId="0"/>
  </cellXfs>
  <cellStyles count="1">
    <cellStyle name="Normal" xfId="0" builtinId="0" hidden="0"/>
  </cellStyles>
  <dxfs count="2">
    <dxf>
      <font>
        <name val="맑은 고딕"/>
        <b val="1"/>
        <color rgb="009C0006"/>
        <sz val="10"/>
      </font>
      <fill>
        <patternFill patternType="solid">
          <fgColor rgb="00FFC7CE"/>
        </patternFill>
      </fill>
    </dxf>
    <dxf>
      <font>
        <name val="맑은 고딕"/>
        <color rgb="00C55A11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USD / 원 월평균</a:t>
            </a:r>
          </a:p>
        </rich>
      </tx>
    </title>
    <plotArea>
      <lineChart>
        <grouping val="standard"/>
        <ser>
          <idx val="0"/>
          <order val="0"/>
          <tx>
            <strRef>
              <f>'월평균환율'!B4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'월평균환율'!$A$5:$A$10</f>
            </numRef>
          </cat>
          <val>
            <numRef>
              <f>'월평균환율'!$B$5:$B$10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CNY / 원 월평균</a:t>
            </a:r>
          </a:p>
        </rich>
      </tx>
    </title>
    <plotArea>
      <lineChart>
        <grouping val="standard"/>
        <ser>
          <idx val="0"/>
          <order val="0"/>
          <tx>
            <strRef>
              <f>'월평균환율'!C4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'월평균환율'!$A$5:$A$10</f>
            </numRef>
          </cat>
          <val>
            <numRef>
              <f>'월평균환율'!$C$5:$C$10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안내</author>
  </authors>
  <commentList>
    <comment ref="B18" authorId="0" shapeId="0">
      <text>
        <t>원가 가산 30%: 입고원가 10,000원 → 판매가 13,000원 (판매가 대비 마진 23.1%)
판매가 마진 30%: 입고원가 10,000원 → 판매가 14,286원 (원가 대비 42.9%)
사내에서 쓰는 정의로 고정하세요.</t>
      </text>
    </comment>
    <comment ref="B25" authorId="0" shapeId="0">
      <text>
        <t>매출 대비: 판관비와 영업이익을 모두 '매출의 몇 %'로 봅니다.
  BEP가   = 매입원가 ÷ (1 − 판관비율)
  기준유통가 = 매입원가 ÷ (1 − 판관비율 − 영업이익률)
  이 방식에서만 BEP가 정확히 영업이익 0원이 되는 지점입니다.
원가 가산: 매입원가에 순서대로 곱합니다.
  BEP가   = 매입원가 × (1 + 판관비율)
  기준유통가 = BEP가 × (1 + 영업이익률)</t>
      </text>
    </comment>
    <comment ref="B35" authorId="0" shapeId="0">
      <text>
        <t>CNY 268 × 192.36 × 1.08 을 예로 들면
  둘 다 '안 함'  : 51,552.48 × 1.08 = 55,676.68 → 55,677
  환산만 '원 단위': 51,552 × 1.08 = 55,676.16 → 55,676
회사에서 쓰는 방식에 맞춰 두 칸을 고르세요.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3</row>
      <rowOff>0</rowOff>
    </from>
    <ext cx="558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58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7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4" customWidth="1" min="2" max="2"/>
  </cols>
  <sheetData>
    <row r="1">
      <c r="B1" s="1" t="inlineStr">
        <is>
          <t>사용 안내</t>
        </is>
      </c>
    </row>
    <row r="2">
      <c r="B2" s="2" t="inlineStr"/>
    </row>
    <row r="3">
      <c r="B3" s="3" t="inlineStr">
        <is>
          <t>1. 매달 할 일 — 환율 갱신</t>
        </is>
      </c>
    </row>
    <row r="4">
      <c r="B4" s="2" t="inlineStr">
        <is>
          <t>① 서울외국환중개 월평균 매매기준율 페이지를 엽니다.</t>
        </is>
      </c>
    </row>
    <row r="5">
      <c r="B5" s="2" t="inlineStr">
        <is>
          <t xml:space="preserve">   http://www.smbs.biz/ExRate/MonAvgStdExRate.jsp</t>
        </is>
      </c>
    </row>
    <row r="6">
      <c r="B6" s="2" t="inlineStr">
        <is>
          <t>② 표에서 해당 월의 미국(USD)과 중국(CNY) 값을 확인합니다.</t>
        </is>
      </c>
    </row>
    <row r="7">
      <c r="B7" s="2" t="inlineStr">
        <is>
          <t>③ [월평균환율] 시트에 한 줄 추가합니다. 연월은 2026-08 처럼 텍스트로 입력하세요.</t>
        </is>
      </c>
    </row>
    <row r="8">
      <c r="B8" s="2" t="inlineStr">
        <is>
          <t>④ 끝입니다. 오늘이 9월이면 8월 값이 자동으로 잡힙니다.</t>
        </is>
      </c>
    </row>
    <row r="9">
      <c r="B9" s="2" t="inlineStr"/>
    </row>
    <row r="10">
      <c r="B10" s="3" t="inlineStr">
        <is>
          <t>2. 자동으로 받아오려면 — 파워쿼리 (Windows 엑셀)</t>
        </is>
      </c>
    </row>
    <row r="11">
      <c r="B11" s="2" t="inlineStr">
        <is>
          <t>① [데이터] 탭 → [데이터 가져오기] → [기타 원본에서] → [웹]</t>
        </is>
      </c>
    </row>
    <row r="12">
      <c r="B12" s="2" t="inlineStr">
        <is>
          <t>② 위 주소를 넣고 [확인] → 탐색 창에서 월평균 표를 고른 뒤 [데이터 변환]</t>
        </is>
      </c>
    </row>
    <row r="13">
      <c r="B13" s="2" t="inlineStr">
        <is>
          <t>③ 연월 · USD · CNY 열만 남기고, 연월을 텍스트로 바꾼 뒤 [닫기 및 로드]</t>
        </is>
      </c>
    </row>
    <row r="14">
      <c r="B14" s="2" t="inlineStr">
        <is>
          <t>④ 이후에는 [데이터] → [모두 새로 고침] 한 번이면 갱신됩니다.</t>
        </is>
      </c>
    </row>
    <row r="15">
      <c r="B15" s="4" t="inlineStr">
        <is>
          <t>※ 이 절차는 실제 사이트에서 확인하지 못했습니다. 사이트 표 구조에 따라 ③단계 열 이름이 다를 수 있고,</t>
        </is>
      </c>
    </row>
    <row r="16">
      <c r="B16" s="4" t="inlineStr">
        <is>
          <t xml:space="preserve">   맥 엑셀은 웹 커넥터 기능이 제한됩니다. 잘 안 되면 위 1번 수동 입력으로 충분합니다.</t>
        </is>
      </c>
    </row>
    <row r="17">
      <c r="B17" s="2" t="inlineStr"/>
    </row>
    <row r="18">
      <c r="B18" s="3" t="inlineStr">
        <is>
          <t>3. 계산 흐름</t>
        </is>
      </c>
    </row>
    <row r="19">
      <c r="B19" s="2" t="inlineStr">
        <is>
          <t>외화 단가 × 환율 = 원화 환산가</t>
        </is>
      </c>
    </row>
    <row r="20">
      <c r="B20" s="2" t="inlineStr">
        <is>
          <t>원화 환산가 × (1 + 부대비용률) = 입고원가</t>
        </is>
      </c>
    </row>
    <row r="21">
      <c r="B21" s="2" t="inlineStr">
        <is>
          <t>입고원가 × (1 + 이윤율)  ← 원가 가산 방식</t>
        </is>
      </c>
    </row>
    <row r="22">
      <c r="B22" s="2" t="inlineStr">
        <is>
          <t>입고원가 ÷ (1 − 이윤율)  ← 판매가 마진 방식</t>
        </is>
      </c>
    </row>
    <row r="23">
      <c r="B23" s="2" t="inlineStr">
        <is>
          <t>→ 절상 단위로 올림 = 판매단가</t>
        </is>
      </c>
    </row>
    <row r="24">
      <c r="B24" s="2" t="inlineStr"/>
    </row>
    <row r="25">
      <c r="B25" s="3" t="inlineStr">
        <is>
          <t>4. 이윤 30%의 두 가지 뜻 — 하나로 고정하세요</t>
        </is>
      </c>
    </row>
    <row r="26">
      <c r="B26" s="2" t="inlineStr">
        <is>
          <t>원가 가산 30%   : 입고원가 10,000원 → 판매가 13,000원 (판매가 대비 마진 23.1%)</t>
        </is>
      </c>
    </row>
    <row r="27">
      <c r="B27" s="2" t="inlineStr">
        <is>
          <t>판매가 마진 30% : 입고원가 10,000원 → 판매가 14,286원 (원가 대비 42.9%)</t>
        </is>
      </c>
    </row>
    <row r="28">
      <c r="B28" s="2" t="inlineStr">
        <is>
          <t>회계상 매출총이익률은 매출 기준이라, 원가에 30%를 붙이면 장부에는 23.1%로 찍힙니다.</t>
        </is>
      </c>
    </row>
    <row r="29">
      <c r="B29" s="2" t="inlineStr"/>
    </row>
    <row r="30">
      <c r="B30" s="3" t="inlineStr">
        <is>
          <t>5. 상품 판매가 (상품판매가 시트) — 수입품 · 국내구매품 유통</t>
        </is>
      </c>
    </row>
    <row r="31">
      <c r="B31" s="2" t="inlineStr">
        <is>
          <t>매입원가 → (판관비) → BEP 가격 → (영업이익) → 기준 유통가 → 영업이 최종 유통가 결정</t>
        </is>
      </c>
    </row>
    <row r="32">
      <c r="B32" s="2" t="inlineStr"/>
    </row>
    <row r="33">
      <c r="B33" s="2" t="inlineStr">
        <is>
          <t>① 매입원가</t>
        </is>
      </c>
    </row>
    <row r="34">
      <c r="B34" s="2" t="inlineStr">
        <is>
          <t xml:space="preserve">   수입품: 외화 단가 × 환율 × (1 + 수입 부대비용률)</t>
        </is>
      </c>
    </row>
    <row r="35">
      <c r="B35" s="2" t="inlineStr">
        <is>
          <t xml:space="preserve">   국내구매품: 원화 매입단가 × (1 + 국내 부대비용률)</t>
        </is>
      </c>
    </row>
    <row r="36">
      <c r="B36" s="2" t="inlineStr">
        <is>
          <t>② BEP 가격 — 팔아도 남지도 밑지지도 않는 가격. 이 밑으로 내려가면 손해입니다.</t>
        </is>
      </c>
    </row>
    <row r="37">
      <c r="B37" s="2" t="inlineStr">
        <is>
          <t xml:space="preserve">   매출 대비 방식: 매입원가 ÷ (1 − 판관비율)</t>
        </is>
      </c>
    </row>
    <row r="38">
      <c r="B38" s="2" t="inlineStr">
        <is>
          <t xml:space="preserve">   원가 가산 방식: 매입원가 × (1 + 판관비율)</t>
        </is>
      </c>
    </row>
    <row r="39">
      <c r="B39" s="2" t="inlineStr">
        <is>
          <t>③ 기준 유통가 — BEP에 목표 영업이익을 얹은 값. 영업에 전달하는 가격입니다.</t>
        </is>
      </c>
    </row>
    <row r="40">
      <c r="B40" s="2" t="inlineStr">
        <is>
          <t xml:space="preserve">   매출 대비 방식: 매입원가 ÷ (1 − 판관비율 − 영업이익률)</t>
        </is>
      </c>
    </row>
    <row r="41">
      <c r="B41" s="2" t="inlineStr">
        <is>
          <t xml:space="preserve">   원가 가산 방식: BEP 가격 × (1 + 영업이익률)</t>
        </is>
      </c>
    </row>
    <row r="42">
      <c r="B42" s="2" t="inlineStr">
        <is>
          <t>④ 최종 유통가 — 영업이 협상해 정한 값을 노란 칸(M열)에 적습니다.</t>
        </is>
      </c>
    </row>
    <row r="43">
      <c r="B43" s="2" t="inlineStr">
        <is>
          <t xml:space="preserve">   비워 두면 기준 유통가가 그대로 적용되고, 적어 넣으면 실제 영업이익률이 즉시 다시 계산됩니다.</t>
        </is>
      </c>
    </row>
    <row r="44">
      <c r="B44" s="2" t="inlineStr">
        <is>
          <t xml:space="preserve">   BEP보다 낮게 적으면 그 칸이 빨갛게 바뀝니다.</t>
        </is>
      </c>
    </row>
    <row r="45">
      <c r="B45" s="2" t="inlineStr"/>
    </row>
    <row r="46">
      <c r="B46" s="2" t="inlineStr">
        <is>
          <t>두 계산 방식의 차이 (매입원가 100,000원 · 판관비 25% · 영업이익 10% 기준)</t>
        </is>
      </c>
    </row>
    <row r="47">
      <c r="B47" s="2" t="inlineStr">
        <is>
          <t xml:space="preserve">   매출 대비: BEP 133,333원 → 기준 유통가 153,846원 (영업이익률 정확히 10%)</t>
        </is>
      </c>
    </row>
    <row r="48">
      <c r="B48" s="2" t="inlineStr">
        <is>
          <t xml:space="preserve">   원가 가산: BEP 125,000원 → 기준 유통가 137,500원 (실제 영업이익률 9.1%)</t>
        </is>
      </c>
    </row>
    <row r="49">
      <c r="B49" s="2" t="inlineStr">
        <is>
          <t xml:space="preserve">   BEP를 '영업이익 0원인 지점'으로 쓰시려면 매출 대비 방식이 맞습니다.</t>
        </is>
      </c>
    </row>
    <row r="50">
      <c r="B50" s="2" t="inlineStr"/>
    </row>
    <row r="51">
      <c r="B51" s="3" t="inlineStr">
        <is>
          <t>6. 반올림 규칙 — 실무 계산과 1~2원 어긋날 때</t>
        </is>
      </c>
    </row>
    <row r="52">
      <c r="B52" s="2" t="inlineStr">
        <is>
          <t>원화에는 소수점 금액이 없어서, 어느 단계에서 원 단위로 정리하느냐에 따라 1~2원씩 달라집니다.</t>
        </is>
      </c>
    </row>
    <row r="53">
      <c r="B53" s="2" t="inlineStr">
        <is>
          <t>설정 시트 B35(원화 환산 반올림) · B36(원가 반올림)에서 고르세요. 두 시트에 함께 적용됩니다.</t>
        </is>
      </c>
    </row>
    <row r="54">
      <c r="B54" s="2" t="inlineStr"/>
    </row>
    <row r="55">
      <c r="B55" s="2" t="inlineStr">
        <is>
          <t>예) CNY 268 × 환율 192.36 × (1 + 부대비용 8%)</t>
        </is>
      </c>
    </row>
    <row r="56">
      <c r="B56" s="2" t="inlineStr">
        <is>
          <t xml:space="preserve">   둘 다 '원 단위'  : 51,552 × 1.08 = 55,676.16 → 55,676원   ← 기본값</t>
        </is>
      </c>
    </row>
    <row r="57">
      <c r="B57" s="2" t="inlineStr">
        <is>
          <t xml:space="preserve">   둘 다 '안 함'    : 51,552.48 × 1.08 = 55,676.68 → 55,677원</t>
        </is>
      </c>
    </row>
    <row r="58">
      <c r="B58" s="2" t="inlineStr">
        <is>
          <t>상품판매가 시트의 G열(원화 환산)을 보면 어느 단계에서 어긋나는지 바로 대조할 수 있습니다.</t>
        </is>
      </c>
    </row>
    <row r="59">
      <c r="B59" s="2" t="inlineStr"/>
    </row>
    <row r="60">
      <c r="B60" s="3" t="inlineStr">
        <is>
          <t>7. 두 판매가 시트의 차이</t>
        </is>
      </c>
    </row>
    <row r="61">
      <c r="B61" s="2" t="inlineStr">
        <is>
          <t>판매가산출 시트 : 수입 자재를 태성정밀에 공급하는 가격. 부대비용 + 이윤으로 단순 계산.</t>
        </is>
      </c>
    </row>
    <row r="62">
      <c r="B62" s="2" t="inlineStr">
        <is>
          <t>상품판매가 시트 : 수입품·국내구매품을 유통하는 가격. 판관비를 태워 BEP를 먼저 잡습니다.</t>
        </is>
      </c>
    </row>
    <row r="63">
      <c r="B63" s="2" t="inlineStr"/>
    </row>
    <row r="64">
      <c r="B64" s="3" t="inlineStr">
        <is>
          <t>8. 확인이 필요한 항목</t>
        </is>
      </c>
    </row>
    <row r="65">
      <c r="B65" s="2" t="inlineStr">
        <is>
          <t>· 부대비용 8%는 물품대에 일괄 적용됩니다. 관세는 HS코드별, 운임은 중량·부피 기준이라</t>
        </is>
      </c>
    </row>
    <row r="66">
      <c r="B66" s="2" t="inlineStr">
        <is>
          <t xml:space="preserve">  품목별 편차가 크면 통관비·운임을 실비로 분리하는 편이 정확합니다.</t>
        </is>
      </c>
    </row>
    <row r="67">
      <c r="B67" s="2" t="inlineStr">
        <is>
          <t>· 환율 기준 시점(매입일 / 통관 과세환율 / 결제일)을 정해야 재무 대사가 맞습니다.</t>
        </is>
      </c>
    </row>
    <row r="68">
      <c r="B68" s="2" t="inlineStr">
        <is>
          <t>· 판관비율 25%는 임의의 출발값입니다. 실제 손익계산서의 판관비 ÷ 매출액으로 바꿔 주세요.</t>
        </is>
      </c>
    </row>
    <row r="69">
      <c r="B69" s="2" t="inlineStr">
        <is>
          <t>· 판관비를 품목별로 배부할지(매출 비례 / 물량 비례) 정해 두면 상품판매가 I열로 조정할 수 있습니다.</t>
        </is>
      </c>
    </row>
    <row r="70">
      <c r="B70" s="2" t="inlineStr">
        <is>
          <t>· 이 파일의 환율과 품목은 모두 예시입니다. 실제 값으로 교체한 뒤 사용하세요.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58" customWidth="1" min="3" max="3"/>
    <col width="30" customWidth="1" min="4" max="4"/>
  </cols>
  <sheetData>
    <row r="1">
      <c r="A1" s="1" t="inlineStr">
        <is>
          <t>수입자재 판매가 산출 — 설정</t>
        </is>
      </c>
    </row>
    <row r="2">
      <c r="A2" s="5" t="inlineStr">
        <is>
          <t>플로우텍 수입 → 태성정밀 공급 · 모든 금액 부가세 별도</t>
        </is>
      </c>
    </row>
    <row r="4">
      <c r="A4" s="3" t="inlineStr">
        <is>
          <t>■ 환율</t>
        </is>
      </c>
    </row>
    <row r="5">
      <c r="A5" s="2" t="inlineStr">
        <is>
          <t>기준 선택</t>
        </is>
      </c>
      <c r="B5" s="6" t="inlineStr">
        <is>
          <t>전월 평균</t>
        </is>
      </c>
      <c r="C5" s="5" t="inlineStr">
        <is>
          <t>전월 평균 / 당월 평균 / 직접 입력 중에서 고릅니다.</t>
        </is>
      </c>
    </row>
    <row r="6">
      <c r="A6" s="2" t="inlineStr">
        <is>
          <t>대상 월(날짜)</t>
        </is>
      </c>
      <c r="B6" s="7">
        <f>EOMONTH(TODAY(),IF($B$5="당월 평균",0,-1))</f>
        <v/>
      </c>
      <c r="C6" s="5" t="inlineStr">
        <is>
          <t>오늘 날짜에서 자동 계산됩니다. 손대지 마세요.</t>
        </is>
      </c>
    </row>
    <row r="7">
      <c r="A7" s="2" t="inlineStr">
        <is>
          <t>적용 연월</t>
        </is>
      </c>
      <c r="B7" s="8">
        <f>IF($B$5="직접 입력",$B$8,RIGHT("0000"&amp;YEAR($B$6),4)&amp;"-"&amp;RIGHT("00"&amp;MONTH($B$6),2))</f>
        <v/>
      </c>
      <c r="C7" s="5" t="inlineStr">
        <is>
          <t>월평균환율 시트에서 이 연월을 찾아 환율을 가져옵니다.</t>
        </is>
      </c>
    </row>
    <row r="8">
      <c r="A8" s="2" t="inlineStr">
        <is>
          <t>직접 지정 연월</t>
        </is>
      </c>
      <c r="B8" s="9" t="inlineStr">
        <is>
          <t>2026-08</t>
        </is>
      </c>
      <c r="C8" s="5" t="inlineStr">
        <is>
          <t>기준 선택이 "직접 입력"일 때만 사용합니다. YYYY-MM 형식.</t>
        </is>
      </c>
    </row>
    <row r="10">
      <c r="A10" s="10" t="inlineStr">
        <is>
          <t>적용 USD / 원</t>
        </is>
      </c>
      <c r="B10" s="11">
        <f>IF($B$5="직접 입력",$B$12,IFERROR(INDEX(월평균환율!$B$5:$B$100,MATCH($B$7,월평균환율!$A$5:$A$100,0)),$B$12))</f>
        <v/>
      </c>
      <c r="C10" s="5" t="inlineStr">
        <is>
          <t>월평균환율 시트에 해당 연월이 없으면 아래 수동 환율을 씁니다.</t>
        </is>
      </c>
    </row>
    <row r="11">
      <c r="A11" s="10" t="inlineStr">
        <is>
          <t>적용 CNY / 원</t>
        </is>
      </c>
      <c r="B11" s="11">
        <f>IF($B$5="직접 입력",$B$13,IFERROR(INDEX(월평균환율!$C$5:$C$100,MATCH($B$7,월평균환율!$A$5:$A$100,0)),$B$13))</f>
        <v/>
      </c>
    </row>
    <row r="12">
      <c r="A12" s="2" t="inlineStr">
        <is>
          <t>수동 USD / 원</t>
        </is>
      </c>
      <c r="B12" s="12" t="n">
        <v>1380</v>
      </c>
      <c r="C12" s="4" t="inlineStr">
        <is>
          <t>예비값입니다. 실제 환율로 바꿔 주세요.</t>
        </is>
      </c>
    </row>
    <row r="13">
      <c r="A13" s="2" t="inlineStr">
        <is>
          <t>수동 CNY / 원</t>
        </is>
      </c>
      <c r="B13" s="12" t="n">
        <v>190</v>
      </c>
      <c r="C13" s="4" t="inlineStr">
        <is>
          <t>예비값입니다. 실제 환율로 바꿔 주세요.</t>
        </is>
      </c>
    </row>
    <row r="15">
      <c r="A15" s="3" t="inlineStr">
        <is>
          <t>■ 원가 · 이윤</t>
        </is>
      </c>
    </row>
    <row r="16">
      <c r="A16" s="2" t="inlineStr">
        <is>
          <t>부대비용률</t>
        </is>
      </c>
      <c r="B16" s="13" t="n">
        <v>0.08</v>
      </c>
      <c r="C16" s="5" t="inlineStr">
        <is>
          <t>운임 · 관세 · 통관수수료 · 창고/내륙운송 · 환리스크를 통으로 잡은 비율.</t>
        </is>
      </c>
      <c r="D16" s="14">
        <f>"확인: 100,000원 → "&amp;TEXT(100000*(1+$B$16),"#,##0")&amp;"원"</f>
        <v/>
      </c>
    </row>
    <row r="17">
      <c r="A17" s="2" t="inlineStr">
        <is>
          <t>이윤율</t>
        </is>
      </c>
      <c r="B17" s="13" t="n">
        <v>0.3</v>
      </c>
      <c r="C17" s="5" t="inlineStr">
        <is>
          <t>품목별로 다르게 주려면 판매가산출 시트 G열에 개별 입력하세요.</t>
        </is>
      </c>
    </row>
    <row r="18">
      <c r="A18" s="2" t="inlineStr">
        <is>
          <t>계산 방식</t>
        </is>
      </c>
      <c r="B18" s="6" t="inlineStr">
        <is>
          <t>원가 가산</t>
        </is>
      </c>
      <c r="C18" s="5" t="inlineStr">
        <is>
          <t>"원가 가산" = 입고원가 × 1.30 · "판매가 마진" = 입고원가 ÷ 0.70</t>
        </is>
      </c>
    </row>
    <row r="19">
      <c r="A19" s="2" t="inlineStr">
        <is>
          <t>판매단가 절상 단위</t>
        </is>
      </c>
      <c r="B19" s="15" t="n">
        <v>10</v>
      </c>
      <c r="C19" s="5" t="inlineStr">
        <is>
          <t>1이면 반올림, 10/100/1000이면 그 단위로 올림 처리합니다.</t>
        </is>
      </c>
    </row>
    <row r="21">
      <c r="A21" s="3" t="inlineStr">
        <is>
          <t>■ 상품 판매가 (수입품 · 국내구매품 유통)</t>
        </is>
      </c>
    </row>
    <row r="22">
      <c r="A22" s="2" t="inlineStr">
        <is>
          <t>국내 부대비용률</t>
        </is>
      </c>
      <c r="B22" s="13" t="n">
        <v>0</v>
      </c>
      <c r="C22" s="5" t="inlineStr">
        <is>
          <t>국내구매품의 운반비 · 검수비 등. 없으면 0%.</t>
        </is>
      </c>
      <c r="D22" s="14">
        <f>"확인: 100,000원 → "&amp;TEXT(100000*(1+$B$22),"#,##0")&amp;"원"</f>
        <v/>
      </c>
    </row>
    <row r="23">
      <c r="A23" s="2" t="inlineStr">
        <is>
          <t>판관비율</t>
        </is>
      </c>
      <c r="B23" s="13" t="n">
        <v>0.25</v>
      </c>
      <c r="C23" s="5" t="inlineStr">
        <is>
          <t>인건비 · 임차료 · 물류 · 판촉 등 판매관리비. 실제 손익계산서 비율로 바꾸세요.</t>
        </is>
      </c>
      <c r="D23" s="4" t="inlineStr">
        <is>
          <t>← 왼쪽 비율을 바꿨는데 이 칸이 안 변하면 엑셀이 자동 계산을 안 하고 있는 것입니다.</t>
        </is>
      </c>
    </row>
    <row r="24">
      <c r="A24" s="2" t="inlineStr">
        <is>
          <t>영업이익률</t>
        </is>
      </c>
      <c r="B24" s="13" t="n">
        <v>0.1</v>
      </c>
      <c r="C24" s="5" t="inlineStr">
        <is>
          <t>기준 유통가에 얹을 목표 영업이익.</t>
        </is>
      </c>
      <c r="D24" s="4" t="inlineStr">
        <is>
          <t xml:space="preserve">   [수식] 탭 → [계산 옵션] → '자동' 확인, 또는 F9를 눌러 보세요.</t>
        </is>
      </c>
    </row>
    <row r="25">
      <c r="A25" s="2" t="inlineStr">
        <is>
          <t>상품가 계산 방식</t>
        </is>
      </c>
      <c r="B25" s="6" t="inlineStr">
        <is>
          <t>매출 대비</t>
        </is>
      </c>
      <c r="C25" s="5" t="inlineStr">
        <is>
          <t>"매출 대비" = 매입원가 ÷ (1 − 판관비율 − 영업이익률) · "원가 가산" = 매입원가 × (1+판관비율) × (1+영업이익률)</t>
        </is>
      </c>
    </row>
    <row r="26">
      <c r="A26" s="2" t="inlineStr">
        <is>
          <t>기준유통가 절상 단위</t>
        </is>
      </c>
      <c r="B26" s="15" t="n">
        <v>100</v>
      </c>
      <c r="C26" s="5" t="inlineStr">
        <is>
          <t>1이면 반올림, 100/1000이면 그 단위로 올림.</t>
        </is>
      </c>
    </row>
    <row r="28">
      <c r="A28" s="3" t="inlineStr">
        <is>
          <t>■ 범례</t>
        </is>
      </c>
    </row>
    <row r="29">
      <c r="A29" s="16" t="inlineStr">
        <is>
          <t>파란 글씨</t>
        </is>
      </c>
      <c r="B29" s="5" t="inlineStr">
        <is>
          <t>직접 입력하는 칸</t>
        </is>
      </c>
    </row>
    <row r="30">
      <c r="A30" s="17" t="inlineStr">
        <is>
          <t>노란 채우기</t>
        </is>
      </c>
      <c r="B30" s="5" t="inlineStr">
        <is>
          <t>반드시 확인하고 채워야 하는 칸</t>
        </is>
      </c>
    </row>
    <row r="31">
      <c r="A31" s="2" t="inlineStr">
        <is>
          <t>검정 글씨</t>
        </is>
      </c>
      <c r="B31" s="5" t="inlineStr">
        <is>
          <t>수식 — 손대지 마세요</t>
        </is>
      </c>
    </row>
    <row r="32">
      <c r="A32" s="18" t="inlineStr">
        <is>
          <t>초록 글씨</t>
        </is>
      </c>
      <c r="B32" s="5" t="inlineStr">
        <is>
          <t>다른 시트를 참조하는 수식</t>
        </is>
      </c>
    </row>
    <row r="34">
      <c r="A34" s="3" t="inlineStr">
        <is>
          <t>■ 반올림 규칙</t>
        </is>
      </c>
    </row>
    <row r="35">
      <c r="A35" s="2" t="inlineStr">
        <is>
          <t>원화 환산 반올림</t>
        </is>
      </c>
      <c r="B35" s="6" t="inlineStr">
        <is>
          <t>원 단위</t>
        </is>
      </c>
      <c r="C35" s="5" t="inlineStr">
        <is>
          <t>외화 × 환율 결과를 원 단위로 정리할지. 실무 계산과 1~2원씩 어긋나면 여기를 바꿔 보세요.</t>
        </is>
      </c>
    </row>
    <row r="36">
      <c r="A36" s="2" t="inlineStr">
        <is>
          <t>원가 반올림</t>
        </is>
      </c>
      <c r="B36" s="6" t="inlineStr">
        <is>
          <t>원 단위</t>
        </is>
      </c>
      <c r="C36" s="5" t="inlineStr">
        <is>
          <t>부대비용까지 더한 입고원가 · 매입원가를 원 단위로 정리할지.</t>
        </is>
      </c>
    </row>
  </sheetData>
  <dataValidations count="4">
    <dataValidation sqref="B35 B36" showDropDown="0" showInputMessage="0" showErrorMessage="0" allowBlank="0" type="list">
      <formula1>"원 단위,안 함"</formula1>
    </dataValidation>
    <dataValidation sqref="B5" showDropDown="0" showInputMessage="0" showErrorMessage="0" allowBlank="0" type="list">
      <formula1>"전월 평균,당월 평균,직접 입력"</formula1>
    </dataValidation>
    <dataValidation sqref="B18" showDropDown="0" showInputMessage="0" showErrorMessage="0" allowBlank="0" type="list">
      <formula1>"원가 가산,판매가 마진"</formula1>
    </dataValidation>
    <dataValidation sqref="B25" showDropDown="0" showInputMessage="0" showErrorMessage="0" allowBlank="0" type="list">
      <formula1>"매출 대비,원가 가산"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34" customWidth="1" min="4" max="4"/>
  </cols>
  <sheetData>
    <row r="1">
      <c r="A1" s="1" t="inlineStr">
        <is>
          <t>월평균 매매기준율</t>
        </is>
      </c>
    </row>
    <row r="2">
      <c r="A2" s="5" t="inlineStr">
        <is>
          <t>출처: 서울외국환중개 http://www.smbs.biz/ExRate/MonAvgStdExRate.jsp — 매달 갱신하세요.</t>
        </is>
      </c>
    </row>
    <row r="4">
      <c r="A4" s="19" t="inlineStr">
        <is>
          <t>연월</t>
        </is>
      </c>
      <c r="B4" s="19" t="inlineStr">
        <is>
          <t>USD / 원</t>
        </is>
      </c>
      <c r="C4" s="19" t="inlineStr">
        <is>
          <t>CNY / 원</t>
        </is>
      </c>
    </row>
    <row r="5">
      <c r="A5" s="20" t="inlineStr">
        <is>
          <t>2026-03</t>
        </is>
      </c>
      <c r="B5" s="21" t="n">
        <v>1368.15</v>
      </c>
      <c r="C5" s="21" t="n">
        <v>191.55</v>
      </c>
      <c r="D5" s="4" t="inlineStr">
        <is>
          <t>예시 값 — 실제 값으로 교체</t>
        </is>
      </c>
    </row>
    <row r="6">
      <c r="A6" s="20" t="inlineStr">
        <is>
          <t>2026-04</t>
        </is>
      </c>
      <c r="B6" s="21" t="n">
        <v>1342</v>
      </c>
      <c r="C6" s="21" t="n">
        <v>186.05</v>
      </c>
      <c r="D6" s="4" t="inlineStr">
        <is>
          <t>예시 값 — 실제 값으로 교체</t>
        </is>
      </c>
    </row>
    <row r="7">
      <c r="A7" s="20" t="inlineStr">
        <is>
          <t>2026-05</t>
        </is>
      </c>
      <c r="B7" s="21" t="n">
        <v>1350.11</v>
      </c>
      <c r="C7" s="21" t="n">
        <v>187.2</v>
      </c>
      <c r="D7" s="4" t="inlineStr">
        <is>
          <t>예시 값 — 실제 값으로 교체</t>
        </is>
      </c>
    </row>
    <row r="8">
      <c r="A8" s="20" t="inlineStr">
        <is>
          <t>2026-06</t>
        </is>
      </c>
      <c r="B8" s="21" t="n">
        <v>1364.88</v>
      </c>
      <c r="C8" s="21" t="n">
        <v>189.47</v>
      </c>
      <c r="D8" s="4" t="inlineStr">
        <is>
          <t>예시 값 — 실제 값으로 교체</t>
        </is>
      </c>
    </row>
    <row r="9">
      <c r="A9" s="20" t="inlineStr">
        <is>
          <t>2026-07</t>
        </is>
      </c>
      <c r="B9" s="21" t="n">
        <v>1371.02</v>
      </c>
      <c r="C9" s="21" t="n">
        <v>190.88</v>
      </c>
      <c r="D9" s="4" t="inlineStr">
        <is>
          <t>예시 값 — 실제 값으로 교체</t>
        </is>
      </c>
    </row>
    <row r="10">
      <c r="A10" s="20" t="inlineStr">
        <is>
          <t>2026-08</t>
        </is>
      </c>
      <c r="B10" s="21" t="n">
        <v>1382.45</v>
      </c>
      <c r="C10" s="21" t="n">
        <v>192.36</v>
      </c>
      <c r="D10" s="4" t="inlineStr">
        <is>
          <t>예시 값 — 실제 값으로 교체</t>
        </is>
      </c>
    </row>
    <row r="11">
      <c r="A11" s="22" t="n"/>
      <c r="B11" s="23" t="n"/>
      <c r="C11" s="23" t="n"/>
    </row>
    <row r="12">
      <c r="A12" s="22" t="n"/>
      <c r="B12" s="23" t="n"/>
      <c r="C12" s="23" t="n"/>
    </row>
    <row r="13">
      <c r="A13" s="22" t="n"/>
      <c r="B13" s="23" t="n"/>
      <c r="C13" s="23" t="n"/>
    </row>
    <row r="14">
      <c r="A14" s="22" t="n"/>
      <c r="B14" s="23" t="n"/>
      <c r="C14" s="23" t="n"/>
    </row>
    <row r="15">
      <c r="A15" s="22" t="n"/>
      <c r="B15" s="23" t="n"/>
      <c r="C15" s="23" t="n"/>
    </row>
    <row r="16">
      <c r="A16" s="22" t="n"/>
      <c r="B16" s="23" t="n"/>
      <c r="C16" s="23" t="n"/>
    </row>
    <row r="17">
      <c r="A17" s="22" t="n"/>
      <c r="B17" s="23" t="n"/>
      <c r="C17" s="23" t="n"/>
    </row>
    <row r="18">
      <c r="A18" s="22" t="n"/>
      <c r="B18" s="23" t="n"/>
      <c r="C18" s="23" t="n"/>
    </row>
    <row r="19">
      <c r="A19" s="22" t="n"/>
      <c r="B19" s="23" t="n"/>
      <c r="C19" s="23" t="n"/>
    </row>
    <row r="20">
      <c r="A20" s="22" t="n"/>
      <c r="B20" s="23" t="n"/>
      <c r="C20" s="23" t="n"/>
    </row>
    <row r="21">
      <c r="A21" s="22" t="n"/>
      <c r="B21" s="23" t="n"/>
      <c r="C21" s="23" t="n"/>
    </row>
    <row r="22">
      <c r="A22" s="22" t="n"/>
      <c r="B22" s="23" t="n"/>
      <c r="C22" s="23" t="n"/>
    </row>
    <row r="23">
      <c r="A23" s="22" t="n"/>
      <c r="B23" s="23" t="n"/>
      <c r="C23" s="23" t="n"/>
    </row>
    <row r="24">
      <c r="A24" s="22" t="n"/>
      <c r="B24" s="23" t="n"/>
      <c r="C24" s="23" t="n"/>
    </row>
    <row r="25">
      <c r="A25" s="22" t="n"/>
      <c r="B25" s="23" t="n"/>
      <c r="C25" s="23" t="n"/>
    </row>
    <row r="26">
      <c r="A26" s="22" t="n"/>
      <c r="B26" s="23" t="n"/>
      <c r="C26" s="23" t="n"/>
    </row>
    <row r="27">
      <c r="A27" s="22" t="n"/>
      <c r="B27" s="23" t="n"/>
      <c r="C27" s="23" t="n"/>
    </row>
    <row r="28">
      <c r="A28" s="22" t="n"/>
      <c r="B28" s="23" t="n"/>
      <c r="C28" s="23" t="n"/>
    </row>
    <row r="30">
      <c r="A30" s="4" t="inlineStr">
        <is>
          <t>연월은 반드시 텍스트 YYYY-MM 형식으로 넣으세요. 날짜로 바뀌면 설정 시트가 값을 찾지 못합니다.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12" customWidth="1" min="3" max="3"/>
    <col width="9" customWidth="1" min="4" max="4"/>
    <col width="13" customWidth="1" min="5" max="5"/>
    <col width="13" customWidth="1" min="6" max="6"/>
    <col width="9" customWidth="1" min="7" max="7"/>
    <col width="9" customWidth="1" min="8" max="8"/>
    <col width="13" customWidth="1" min="9" max="9"/>
    <col width="12" customWidth="1" min="10" max="10"/>
    <col width="9" customWidth="1" min="11" max="11"/>
    <col width="15" customWidth="1" min="12" max="12"/>
    <col width="15" customWidth="1" min="13" max="13"/>
  </cols>
  <sheetData>
    <row r="1">
      <c r="A1" s="1" t="inlineStr">
        <is>
          <t>자재 판매가 산출 — 태성정밀 공급</t>
        </is>
      </c>
    </row>
    <row r="2">
      <c r="A2" s="18">
        <f>" 적용 환율: "&amp;설정!$B$7&amp;"  ·  USD "&amp;TEXT(설정!$B$10,"#,##0.00")&amp;"  ·  CNY "&amp;TEXT(설정!$B$11,"#,##0.00")&amp;"  ·  부대비용 "&amp;TEXT(설정!$B$16,"0.0%")&amp;"  ·  "&amp;설정!$B$18&amp;" "&amp;TEXT(설정!$B$17,"0.0%")</f>
        <v/>
      </c>
    </row>
    <row r="4" ht="30" customHeight="1">
      <c r="A4" s="24" t="inlineStr">
        <is>
          <t>품목</t>
        </is>
      </c>
      <c r="B4" s="24" t="inlineStr">
        <is>
          <t>통화</t>
        </is>
      </c>
      <c r="C4" s="24" t="inlineStr">
        <is>
          <t>외화 단가</t>
        </is>
      </c>
      <c r="D4" s="24" t="inlineStr">
        <is>
          <t>수량</t>
        </is>
      </c>
      <c r="E4" s="24" t="inlineStr">
        <is>
          <t>원화 환산</t>
        </is>
      </c>
      <c r="F4" s="24" t="inlineStr">
        <is>
          <t>입고원가 /개</t>
        </is>
      </c>
      <c r="G4" s="24" t="inlineStr">
        <is>
          <t>이윤율</t>
        </is>
      </c>
      <c r="H4" s="24" t="inlineStr">
        <is>
          <t>적용 이윤율</t>
        </is>
      </c>
      <c r="I4" s="24" t="inlineStr">
        <is>
          <t>판매단가 /개</t>
        </is>
      </c>
      <c r="J4" s="24" t="inlineStr">
        <is>
          <t>개당 마진</t>
        </is>
      </c>
      <c r="K4" s="24" t="inlineStr">
        <is>
          <t>마진율</t>
        </is>
      </c>
      <c r="L4" s="24" t="inlineStr">
        <is>
          <t>판매 합계</t>
        </is>
      </c>
      <c r="M4" s="24" t="inlineStr">
        <is>
          <t>원가 합계</t>
        </is>
      </c>
    </row>
    <row r="5">
      <c r="A5" s="25" t="inlineStr">
        <is>
          <t>SUS304 환봉 ø25</t>
        </is>
      </c>
      <c r="B5" s="26" t="inlineStr">
        <is>
          <t>CNY</t>
        </is>
      </c>
      <c r="C5" s="23" t="n">
        <v>42.5</v>
      </c>
      <c r="D5" s="27" t="n">
        <v>120</v>
      </c>
      <c r="E5" s="28">
        <f>IF(N($C5)=0,"",IF(설정!$B$35="원 단위",ROUND($C5*IF($B5="USD",설정!$B$10,IF($B5="CNY",설정!$B$11,1)),0),$C5*IF($B5="USD",설정!$B$10,IF($B5="CNY",설정!$B$11,1))))</f>
        <v/>
      </c>
      <c r="F5" s="29">
        <f>IF($E5="","",IF(설정!$B$36="원 단위",ROUND($E5*(1+설정!$B$16),0),$E5*(1+설정!$B$16)))</f>
        <v/>
      </c>
      <c r="G5" s="30" t="n"/>
      <c r="H5" s="31">
        <f>IF($E5="","",IF($G5="",설정!$B$17,$G5))</f>
        <v/>
      </c>
      <c r="I5" s="29">
        <f>IF($F5="","",IFERROR(IF(설정!$B$19&lt;=1,ROUND(IF(설정!$B$18="판매가 마진",$F5/(1-$H5),$F5*(1+$H5)),0),CEILING(IF(설정!$B$18="판매가 마진",$F5/(1-$H5),$F5*(1+$H5)),설정!$B$19)),0))</f>
        <v/>
      </c>
      <c r="J5" s="29">
        <f>IF($I5="","",$I5-$F5)</f>
        <v/>
      </c>
      <c r="K5" s="31">
        <f>IF(N($I5)=0,"",$J5/$I5)</f>
        <v/>
      </c>
      <c r="L5" s="29">
        <f>IF($I5="","",$I5*$D5)</f>
        <v/>
      </c>
      <c r="M5" s="29">
        <f>IF($F5="","",$F5*$D5)</f>
        <v/>
      </c>
    </row>
    <row r="6">
      <c r="A6" s="25" t="inlineStr">
        <is>
          <t>SUS316L 파이프 1/2"</t>
        </is>
      </c>
      <c r="B6" s="26" t="inlineStr">
        <is>
          <t>CNY</t>
        </is>
      </c>
      <c r="C6" s="23" t="n">
        <v>78</v>
      </c>
      <c r="D6" s="27" t="n">
        <v>60</v>
      </c>
      <c r="E6" s="28">
        <f>IF(N($C6)=0,"",IF(설정!$B$35="원 단위",ROUND($C6*IF($B6="USD",설정!$B$10,IF($B6="CNY",설정!$B$11,1)),0),$C6*IF($B6="USD",설정!$B$10,IF($B6="CNY",설정!$B$11,1))))</f>
        <v/>
      </c>
      <c r="F6" s="29">
        <f>IF($E6="","",IF(설정!$B$36="원 단위",ROUND($E6*(1+설정!$B$16),0),$E6*(1+설정!$B$16)))</f>
        <v/>
      </c>
      <c r="G6" s="30" t="n"/>
      <c r="H6" s="31">
        <f>IF($E6="","",IF($G6="",설정!$B$17,$G6))</f>
        <v/>
      </c>
      <c r="I6" s="29">
        <f>IF($F6="","",IFERROR(IF(설정!$B$19&lt;=1,ROUND(IF(설정!$B$18="판매가 마진",$F6/(1-$H6),$F6*(1+$H6)),0),CEILING(IF(설정!$B$18="판매가 마진",$F6/(1-$H6),$F6*(1+$H6)),설정!$B$19)),0))</f>
        <v/>
      </c>
      <c r="J6" s="29">
        <f>IF($I6="","",$I6-$F6)</f>
        <v/>
      </c>
      <c r="K6" s="31">
        <f>IF(N($I6)=0,"",$J6/$I6)</f>
        <v/>
      </c>
      <c r="L6" s="29">
        <f>IF($I6="","",$I6*$D6)</f>
        <v/>
      </c>
      <c r="M6" s="29">
        <f>IF($F6="","",$F6*$D6)</f>
        <v/>
      </c>
    </row>
    <row r="7">
      <c r="A7" s="25" t="inlineStr">
        <is>
          <t>황동봉 C3604 ø20</t>
        </is>
      </c>
      <c r="B7" s="26" t="inlineStr">
        <is>
          <t>CNY</t>
        </is>
      </c>
      <c r="C7" s="23" t="n">
        <v>36.8</v>
      </c>
      <c r="D7" s="27" t="n">
        <v>200</v>
      </c>
      <c r="E7" s="28">
        <f>IF(N($C7)=0,"",IF(설정!$B$35="원 단위",ROUND($C7*IF($B7="USD",설정!$B$10,IF($B7="CNY",설정!$B$11,1)),0),$C7*IF($B7="USD",설정!$B$10,IF($B7="CNY",설정!$B$11,1))))</f>
        <v/>
      </c>
      <c r="F7" s="29">
        <f>IF($E7="","",IF(설정!$B$36="원 단위",ROUND($E7*(1+설정!$B$16),0),$E7*(1+설정!$B$16)))</f>
        <v/>
      </c>
      <c r="G7" s="30" t="n"/>
      <c r="H7" s="31">
        <f>IF($E7="","",IF($G7="",설정!$B$17,$G7))</f>
        <v/>
      </c>
      <c r="I7" s="29">
        <f>IF($F7="","",IFERROR(IF(설정!$B$19&lt;=1,ROUND(IF(설정!$B$18="판매가 마진",$F7/(1-$H7),$F7*(1+$H7)),0),CEILING(IF(설정!$B$18="판매가 마진",$F7/(1-$H7),$F7*(1+$H7)),설정!$B$19)),0))</f>
        <v/>
      </c>
      <c r="J7" s="29">
        <f>IF($I7="","",$I7-$F7)</f>
        <v/>
      </c>
      <c r="K7" s="31">
        <f>IF(N($I7)=0,"",$J7/$I7)</f>
        <v/>
      </c>
      <c r="L7" s="29">
        <f>IF($I7="","",$I7*$D7)</f>
        <v/>
      </c>
      <c r="M7" s="29">
        <f>IF($F7="","",$F7*$D7)</f>
        <v/>
      </c>
    </row>
    <row r="8">
      <c r="A8" s="25" t="inlineStr">
        <is>
          <t>알루미늄 빌렛 6061-T6</t>
        </is>
      </c>
      <c r="B8" s="26" t="inlineStr">
        <is>
          <t>USD</t>
        </is>
      </c>
      <c r="C8" s="23" t="n">
        <v>9.4</v>
      </c>
      <c r="D8" s="27" t="n">
        <v>150</v>
      </c>
      <c r="E8" s="28">
        <f>IF(N($C8)=0,"",IF(설정!$B$35="원 단위",ROUND($C8*IF($B8="USD",설정!$B$10,IF($B8="CNY",설정!$B$11,1)),0),$C8*IF($B8="USD",설정!$B$10,IF($B8="CNY",설정!$B$11,1))))</f>
        <v/>
      </c>
      <c r="F8" s="29">
        <f>IF($E8="","",IF(설정!$B$36="원 단위",ROUND($E8*(1+설정!$B$16),0),$E8*(1+설정!$B$16)))</f>
        <v/>
      </c>
      <c r="G8" s="30" t="n"/>
      <c r="H8" s="31">
        <f>IF($E8="","",IF($G8="",설정!$B$17,$G8))</f>
        <v/>
      </c>
      <c r="I8" s="29">
        <f>IF($F8="","",IFERROR(IF(설정!$B$19&lt;=1,ROUND(IF(설정!$B$18="판매가 마진",$F8/(1-$H8),$F8*(1+$H8)),0),CEILING(IF(설정!$B$18="판매가 마진",$F8/(1-$H8),$F8*(1+$H8)),설정!$B$19)),0))</f>
        <v/>
      </c>
      <c r="J8" s="29">
        <f>IF($I8="","",$I8-$F8)</f>
        <v/>
      </c>
      <c r="K8" s="31">
        <f>IF(N($I8)=0,"",$J8/$I8)</f>
        <v/>
      </c>
      <c r="L8" s="29">
        <f>IF($I8="","",$I8*$D8)</f>
        <v/>
      </c>
      <c r="M8" s="29">
        <f>IF($F8="","",$F8*$D8)</f>
        <v/>
      </c>
    </row>
    <row r="9">
      <c r="A9" s="25" t="inlineStr">
        <is>
          <t>유압 피팅 어댑터 PT1/4</t>
        </is>
      </c>
      <c r="B9" s="26" t="inlineStr">
        <is>
          <t>USD</t>
        </is>
      </c>
      <c r="C9" s="23" t="n">
        <v>3.15</v>
      </c>
      <c r="D9" s="27" t="n">
        <v>800</v>
      </c>
      <c r="E9" s="28">
        <f>IF(N($C9)=0,"",IF(설정!$B$35="원 단위",ROUND($C9*IF($B9="USD",설정!$B$10,IF($B9="CNY",설정!$B$11,1)),0),$C9*IF($B9="USD",설정!$B$10,IF($B9="CNY",설정!$B$11,1))))</f>
        <v/>
      </c>
      <c r="F9" s="29">
        <f>IF($E9="","",IF(설정!$B$36="원 단위",ROUND($E9*(1+설정!$B$16),0),$E9*(1+설정!$B$16)))</f>
        <v/>
      </c>
      <c r="G9" s="30" t="n">
        <v>0.35</v>
      </c>
      <c r="H9" s="31">
        <f>IF($E9="","",IF($G9="",설정!$B$17,$G9))</f>
        <v/>
      </c>
      <c r="I9" s="29">
        <f>IF($F9="","",IFERROR(IF(설정!$B$19&lt;=1,ROUND(IF(설정!$B$18="판매가 마진",$F9/(1-$H9),$F9*(1+$H9)),0),CEILING(IF(설정!$B$18="판매가 마진",$F9/(1-$H9),$F9*(1+$H9)),설정!$B$19)),0))</f>
        <v/>
      </c>
      <c r="J9" s="29">
        <f>IF($I9="","",$I9-$F9)</f>
        <v/>
      </c>
      <c r="K9" s="31">
        <f>IF(N($I9)=0,"",$J9/$I9)</f>
        <v/>
      </c>
      <c r="L9" s="29">
        <f>IF($I9="","",$I9*$D9)</f>
        <v/>
      </c>
      <c r="M9" s="29">
        <f>IF($F9="","",$F9*$D9)</f>
        <v/>
      </c>
    </row>
    <row r="10">
      <c r="A10" s="25" t="inlineStr">
        <is>
          <t>O-링 NBR P-24 (100EA)</t>
        </is>
      </c>
      <c r="B10" s="26" t="inlineStr">
        <is>
          <t>CNY</t>
        </is>
      </c>
      <c r="C10" s="23" t="n">
        <v>11.2</v>
      </c>
      <c r="D10" s="27" t="n">
        <v>40</v>
      </c>
      <c r="E10" s="28">
        <f>IF(N($C10)=0,"",IF(설정!$B$35="원 단위",ROUND($C10*IF($B10="USD",설정!$B$10,IF($B10="CNY",설정!$B$11,1)),0),$C10*IF($B10="USD",설정!$B$10,IF($B10="CNY",설정!$B$11,1))))</f>
        <v/>
      </c>
      <c r="F10" s="29">
        <f>IF($E10="","",IF(설정!$B$36="원 단위",ROUND($E10*(1+설정!$B$16),0),$E10*(1+설정!$B$16)))</f>
        <v/>
      </c>
      <c r="G10" s="30" t="n"/>
      <c r="H10" s="31">
        <f>IF($E10="","",IF($G10="",설정!$B$17,$G10))</f>
        <v/>
      </c>
      <c r="I10" s="29">
        <f>IF($F10="","",IFERROR(IF(설정!$B$19&lt;=1,ROUND(IF(설정!$B$18="판매가 마진",$F10/(1-$H10),$F10*(1+$H10)),0),CEILING(IF(설정!$B$18="판매가 마진",$F10/(1-$H10),$F10*(1+$H10)),설정!$B$19)),0))</f>
        <v/>
      </c>
      <c r="J10" s="29">
        <f>IF($I10="","",$I10-$F10)</f>
        <v/>
      </c>
      <c r="K10" s="31">
        <f>IF(N($I10)=0,"",$J10/$I10)</f>
        <v/>
      </c>
      <c r="L10" s="29">
        <f>IF($I10="","",$I10*$D10)</f>
        <v/>
      </c>
      <c r="M10" s="29">
        <f>IF($F10="","",$F10*$D10)</f>
        <v/>
      </c>
    </row>
    <row r="11">
      <c r="A11" s="25" t="n"/>
      <c r="B11" s="26" t="n"/>
      <c r="C11" s="23" t="n"/>
      <c r="D11" s="27" t="n"/>
      <c r="E11" s="28">
        <f>IF(N($C11)=0,"",IF(설정!$B$35="원 단위",ROUND($C11*IF($B11="USD",설정!$B$10,IF($B11="CNY",설정!$B$11,1)),0),$C11*IF($B11="USD",설정!$B$10,IF($B11="CNY",설정!$B$11,1))))</f>
        <v/>
      </c>
      <c r="F11" s="29">
        <f>IF($E11="","",IF(설정!$B$36="원 단위",ROUND($E11*(1+설정!$B$16),0),$E11*(1+설정!$B$16)))</f>
        <v/>
      </c>
      <c r="G11" s="30" t="n"/>
      <c r="H11" s="31">
        <f>IF($E11="","",IF($G11="",설정!$B$17,$G11))</f>
        <v/>
      </c>
      <c r="I11" s="29">
        <f>IF($F11="","",IFERROR(IF(설정!$B$19&lt;=1,ROUND(IF(설정!$B$18="판매가 마진",$F11/(1-$H11),$F11*(1+$H11)),0),CEILING(IF(설정!$B$18="판매가 마진",$F11/(1-$H11),$F11*(1+$H11)),설정!$B$19)),0))</f>
        <v/>
      </c>
      <c r="J11" s="29">
        <f>IF($I11="","",$I11-$F11)</f>
        <v/>
      </c>
      <c r="K11" s="31">
        <f>IF(N($I11)=0,"",$J11/$I11)</f>
        <v/>
      </c>
      <c r="L11" s="29">
        <f>IF($I11="","",$I11*$D11)</f>
        <v/>
      </c>
      <c r="M11" s="29">
        <f>IF($F11="","",$F11*$D11)</f>
        <v/>
      </c>
    </row>
    <row r="12">
      <c r="A12" s="25" t="n"/>
      <c r="B12" s="26" t="n"/>
      <c r="C12" s="23" t="n"/>
      <c r="D12" s="27" t="n"/>
      <c r="E12" s="28">
        <f>IF(N($C12)=0,"",IF(설정!$B$35="원 단위",ROUND($C12*IF($B12="USD",설정!$B$10,IF($B12="CNY",설정!$B$11,1)),0),$C12*IF($B12="USD",설정!$B$10,IF($B12="CNY",설정!$B$11,1))))</f>
        <v/>
      </c>
      <c r="F12" s="29">
        <f>IF($E12="","",IF(설정!$B$36="원 단위",ROUND($E12*(1+설정!$B$16),0),$E12*(1+설정!$B$16)))</f>
        <v/>
      </c>
      <c r="G12" s="30" t="n"/>
      <c r="H12" s="31">
        <f>IF($E12="","",IF($G12="",설정!$B$17,$G12))</f>
        <v/>
      </c>
      <c r="I12" s="29">
        <f>IF($F12="","",IFERROR(IF(설정!$B$19&lt;=1,ROUND(IF(설정!$B$18="판매가 마진",$F12/(1-$H12),$F12*(1+$H12)),0),CEILING(IF(설정!$B$18="판매가 마진",$F12/(1-$H12),$F12*(1+$H12)),설정!$B$19)),0))</f>
        <v/>
      </c>
      <c r="J12" s="29">
        <f>IF($I12="","",$I12-$F12)</f>
        <v/>
      </c>
      <c r="K12" s="31">
        <f>IF(N($I12)=0,"",$J12/$I12)</f>
        <v/>
      </c>
      <c r="L12" s="29">
        <f>IF($I12="","",$I12*$D12)</f>
        <v/>
      </c>
      <c r="M12" s="29">
        <f>IF($F12="","",$F12*$D12)</f>
        <v/>
      </c>
    </row>
    <row r="13">
      <c r="A13" s="25" t="n"/>
      <c r="B13" s="26" t="n"/>
      <c r="C13" s="23" t="n"/>
      <c r="D13" s="27" t="n"/>
      <c r="E13" s="28">
        <f>IF(N($C13)=0,"",IF(설정!$B$35="원 단위",ROUND($C13*IF($B13="USD",설정!$B$10,IF($B13="CNY",설정!$B$11,1)),0),$C13*IF($B13="USD",설정!$B$10,IF($B13="CNY",설정!$B$11,1))))</f>
        <v/>
      </c>
      <c r="F13" s="29">
        <f>IF($E13="","",IF(설정!$B$36="원 단위",ROUND($E13*(1+설정!$B$16),0),$E13*(1+설정!$B$16)))</f>
        <v/>
      </c>
      <c r="G13" s="30" t="n"/>
      <c r="H13" s="31">
        <f>IF($E13="","",IF($G13="",설정!$B$17,$G13))</f>
        <v/>
      </c>
      <c r="I13" s="29">
        <f>IF($F13="","",IFERROR(IF(설정!$B$19&lt;=1,ROUND(IF(설정!$B$18="판매가 마진",$F13/(1-$H13),$F13*(1+$H13)),0),CEILING(IF(설정!$B$18="판매가 마진",$F13/(1-$H13),$F13*(1+$H13)),설정!$B$19)),0))</f>
        <v/>
      </c>
      <c r="J13" s="29">
        <f>IF($I13="","",$I13-$F13)</f>
        <v/>
      </c>
      <c r="K13" s="31">
        <f>IF(N($I13)=0,"",$J13/$I13)</f>
        <v/>
      </c>
      <c r="L13" s="29">
        <f>IF($I13="","",$I13*$D13)</f>
        <v/>
      </c>
      <c r="M13" s="29">
        <f>IF($F13="","",$F13*$D13)</f>
        <v/>
      </c>
    </row>
    <row r="14">
      <c r="A14" s="25" t="n"/>
      <c r="B14" s="26" t="n"/>
      <c r="C14" s="23" t="n"/>
      <c r="D14" s="27" t="n"/>
      <c r="E14" s="28">
        <f>IF(N($C14)=0,"",IF(설정!$B$35="원 단위",ROUND($C14*IF($B14="USD",설정!$B$10,IF($B14="CNY",설정!$B$11,1)),0),$C14*IF($B14="USD",설정!$B$10,IF($B14="CNY",설정!$B$11,1))))</f>
        <v/>
      </c>
      <c r="F14" s="29">
        <f>IF($E14="","",IF(설정!$B$36="원 단위",ROUND($E14*(1+설정!$B$16),0),$E14*(1+설정!$B$16)))</f>
        <v/>
      </c>
      <c r="G14" s="30" t="n"/>
      <c r="H14" s="31">
        <f>IF($E14="","",IF($G14="",설정!$B$17,$G14))</f>
        <v/>
      </c>
      <c r="I14" s="29">
        <f>IF($F14="","",IFERROR(IF(설정!$B$19&lt;=1,ROUND(IF(설정!$B$18="판매가 마진",$F14/(1-$H14),$F14*(1+$H14)),0),CEILING(IF(설정!$B$18="판매가 마진",$F14/(1-$H14),$F14*(1+$H14)),설정!$B$19)),0))</f>
        <v/>
      </c>
      <c r="J14" s="29">
        <f>IF($I14="","",$I14-$F14)</f>
        <v/>
      </c>
      <c r="K14" s="31">
        <f>IF(N($I14)=0,"",$J14/$I14)</f>
        <v/>
      </c>
      <c r="L14" s="29">
        <f>IF($I14="","",$I14*$D14)</f>
        <v/>
      </c>
      <c r="M14" s="29">
        <f>IF($F14="","",$F14*$D14)</f>
        <v/>
      </c>
    </row>
    <row r="15">
      <c r="A15" s="25" t="n"/>
      <c r="B15" s="26" t="n"/>
      <c r="C15" s="23" t="n"/>
      <c r="D15" s="27" t="n"/>
      <c r="E15" s="28">
        <f>IF(N($C15)=0,"",IF(설정!$B$35="원 단위",ROUND($C15*IF($B15="USD",설정!$B$10,IF($B15="CNY",설정!$B$11,1)),0),$C15*IF($B15="USD",설정!$B$10,IF($B15="CNY",설정!$B$11,1))))</f>
        <v/>
      </c>
      <c r="F15" s="29">
        <f>IF($E15="","",IF(설정!$B$36="원 단위",ROUND($E15*(1+설정!$B$16),0),$E15*(1+설정!$B$16)))</f>
        <v/>
      </c>
      <c r="G15" s="30" t="n"/>
      <c r="H15" s="31">
        <f>IF($E15="","",IF($G15="",설정!$B$17,$G15))</f>
        <v/>
      </c>
      <c r="I15" s="29">
        <f>IF($F15="","",IFERROR(IF(설정!$B$19&lt;=1,ROUND(IF(설정!$B$18="판매가 마진",$F15/(1-$H15),$F15*(1+$H15)),0),CEILING(IF(설정!$B$18="판매가 마진",$F15/(1-$H15),$F15*(1+$H15)),설정!$B$19)),0))</f>
        <v/>
      </c>
      <c r="J15" s="29">
        <f>IF($I15="","",$I15-$F15)</f>
        <v/>
      </c>
      <c r="K15" s="31">
        <f>IF(N($I15)=0,"",$J15/$I15)</f>
        <v/>
      </c>
      <c r="L15" s="29">
        <f>IF($I15="","",$I15*$D15)</f>
        <v/>
      </c>
      <c r="M15" s="29">
        <f>IF($F15="","",$F15*$D15)</f>
        <v/>
      </c>
    </row>
    <row r="16">
      <c r="A16" s="25" t="n"/>
      <c r="B16" s="26" t="n"/>
      <c r="C16" s="23" t="n"/>
      <c r="D16" s="27" t="n"/>
      <c r="E16" s="28">
        <f>IF(N($C16)=0,"",IF(설정!$B$35="원 단위",ROUND($C16*IF($B16="USD",설정!$B$10,IF($B16="CNY",설정!$B$11,1)),0),$C16*IF($B16="USD",설정!$B$10,IF($B16="CNY",설정!$B$11,1))))</f>
        <v/>
      </c>
      <c r="F16" s="29">
        <f>IF($E16="","",IF(설정!$B$36="원 단위",ROUND($E16*(1+설정!$B$16),0),$E16*(1+설정!$B$16)))</f>
        <v/>
      </c>
      <c r="G16" s="30" t="n"/>
      <c r="H16" s="31">
        <f>IF($E16="","",IF($G16="",설정!$B$17,$G16))</f>
        <v/>
      </c>
      <c r="I16" s="29">
        <f>IF($F16="","",IFERROR(IF(설정!$B$19&lt;=1,ROUND(IF(설정!$B$18="판매가 마진",$F16/(1-$H16),$F16*(1+$H16)),0),CEILING(IF(설정!$B$18="판매가 마진",$F16/(1-$H16),$F16*(1+$H16)),설정!$B$19)),0))</f>
        <v/>
      </c>
      <c r="J16" s="29">
        <f>IF($I16="","",$I16-$F16)</f>
        <v/>
      </c>
      <c r="K16" s="31">
        <f>IF(N($I16)=0,"",$J16/$I16)</f>
        <v/>
      </c>
      <c r="L16" s="29">
        <f>IF($I16="","",$I16*$D16)</f>
        <v/>
      </c>
      <c r="M16" s="29">
        <f>IF($F16="","",$F16*$D16)</f>
        <v/>
      </c>
    </row>
    <row r="17">
      <c r="A17" s="25" t="n"/>
      <c r="B17" s="26" t="n"/>
      <c r="C17" s="23" t="n"/>
      <c r="D17" s="27" t="n"/>
      <c r="E17" s="28">
        <f>IF(N($C17)=0,"",IF(설정!$B$35="원 단위",ROUND($C17*IF($B17="USD",설정!$B$10,IF($B17="CNY",설정!$B$11,1)),0),$C17*IF($B17="USD",설정!$B$10,IF($B17="CNY",설정!$B$11,1))))</f>
        <v/>
      </c>
      <c r="F17" s="29">
        <f>IF($E17="","",IF(설정!$B$36="원 단위",ROUND($E17*(1+설정!$B$16),0),$E17*(1+설정!$B$16)))</f>
        <v/>
      </c>
      <c r="G17" s="30" t="n"/>
      <c r="H17" s="31">
        <f>IF($E17="","",IF($G17="",설정!$B$17,$G17))</f>
        <v/>
      </c>
      <c r="I17" s="29">
        <f>IF($F17="","",IFERROR(IF(설정!$B$19&lt;=1,ROUND(IF(설정!$B$18="판매가 마진",$F17/(1-$H17),$F17*(1+$H17)),0),CEILING(IF(설정!$B$18="판매가 마진",$F17/(1-$H17),$F17*(1+$H17)),설정!$B$19)),0))</f>
        <v/>
      </c>
      <c r="J17" s="29">
        <f>IF($I17="","",$I17-$F17)</f>
        <v/>
      </c>
      <c r="K17" s="31">
        <f>IF(N($I17)=0,"",$J17/$I17)</f>
        <v/>
      </c>
      <c r="L17" s="29">
        <f>IF($I17="","",$I17*$D17)</f>
        <v/>
      </c>
      <c r="M17" s="29">
        <f>IF($F17="","",$F17*$D17)</f>
        <v/>
      </c>
    </row>
    <row r="18">
      <c r="A18" s="25" t="n"/>
      <c r="B18" s="26" t="n"/>
      <c r="C18" s="23" t="n"/>
      <c r="D18" s="27" t="n"/>
      <c r="E18" s="28">
        <f>IF(N($C18)=0,"",IF(설정!$B$35="원 단위",ROUND($C18*IF($B18="USD",설정!$B$10,IF($B18="CNY",설정!$B$11,1)),0),$C18*IF($B18="USD",설정!$B$10,IF($B18="CNY",설정!$B$11,1))))</f>
        <v/>
      </c>
      <c r="F18" s="29">
        <f>IF($E18="","",IF(설정!$B$36="원 단위",ROUND($E18*(1+설정!$B$16),0),$E18*(1+설정!$B$16)))</f>
        <v/>
      </c>
      <c r="G18" s="30" t="n"/>
      <c r="H18" s="31">
        <f>IF($E18="","",IF($G18="",설정!$B$17,$G18))</f>
        <v/>
      </c>
      <c r="I18" s="29">
        <f>IF($F18="","",IFERROR(IF(설정!$B$19&lt;=1,ROUND(IF(설정!$B$18="판매가 마진",$F18/(1-$H18),$F18*(1+$H18)),0),CEILING(IF(설정!$B$18="판매가 마진",$F18/(1-$H18),$F18*(1+$H18)),설정!$B$19)),0))</f>
        <v/>
      </c>
      <c r="J18" s="29">
        <f>IF($I18="","",$I18-$F18)</f>
        <v/>
      </c>
      <c r="K18" s="31">
        <f>IF(N($I18)=0,"",$J18/$I18)</f>
        <v/>
      </c>
      <c r="L18" s="29">
        <f>IF($I18="","",$I18*$D18)</f>
        <v/>
      </c>
      <c r="M18" s="29">
        <f>IF($F18="","",$F18*$D18)</f>
        <v/>
      </c>
    </row>
    <row r="19">
      <c r="A19" s="25" t="n"/>
      <c r="B19" s="26" t="n"/>
      <c r="C19" s="23" t="n"/>
      <c r="D19" s="27" t="n"/>
      <c r="E19" s="28">
        <f>IF(N($C19)=0,"",IF(설정!$B$35="원 단위",ROUND($C19*IF($B19="USD",설정!$B$10,IF($B19="CNY",설정!$B$11,1)),0),$C19*IF($B19="USD",설정!$B$10,IF($B19="CNY",설정!$B$11,1))))</f>
        <v/>
      </c>
      <c r="F19" s="29">
        <f>IF($E19="","",IF(설정!$B$36="원 단위",ROUND($E19*(1+설정!$B$16),0),$E19*(1+설정!$B$16)))</f>
        <v/>
      </c>
      <c r="G19" s="30" t="n"/>
      <c r="H19" s="31">
        <f>IF($E19="","",IF($G19="",설정!$B$17,$G19))</f>
        <v/>
      </c>
      <c r="I19" s="29">
        <f>IF($F19="","",IFERROR(IF(설정!$B$19&lt;=1,ROUND(IF(설정!$B$18="판매가 마진",$F19/(1-$H19),$F19*(1+$H19)),0),CEILING(IF(설정!$B$18="판매가 마진",$F19/(1-$H19),$F19*(1+$H19)),설정!$B$19)),0))</f>
        <v/>
      </c>
      <c r="J19" s="29">
        <f>IF($I19="","",$I19-$F19)</f>
        <v/>
      </c>
      <c r="K19" s="31">
        <f>IF(N($I19)=0,"",$J19/$I19)</f>
        <v/>
      </c>
      <c r="L19" s="29">
        <f>IF($I19="","",$I19*$D19)</f>
        <v/>
      </c>
      <c r="M19" s="29">
        <f>IF($F19="","",$F19*$D19)</f>
        <v/>
      </c>
    </row>
    <row r="20">
      <c r="A20" s="25" t="n"/>
      <c r="B20" s="26" t="n"/>
      <c r="C20" s="23" t="n"/>
      <c r="D20" s="27" t="n"/>
      <c r="E20" s="28">
        <f>IF(N($C20)=0,"",IF(설정!$B$35="원 단위",ROUND($C20*IF($B20="USD",설정!$B$10,IF($B20="CNY",설정!$B$11,1)),0),$C20*IF($B20="USD",설정!$B$10,IF($B20="CNY",설정!$B$11,1))))</f>
        <v/>
      </c>
      <c r="F20" s="29">
        <f>IF($E20="","",IF(설정!$B$36="원 단위",ROUND($E20*(1+설정!$B$16),0),$E20*(1+설정!$B$16)))</f>
        <v/>
      </c>
      <c r="G20" s="30" t="n"/>
      <c r="H20" s="31">
        <f>IF($E20="","",IF($G20="",설정!$B$17,$G20))</f>
        <v/>
      </c>
      <c r="I20" s="29">
        <f>IF($F20="","",IFERROR(IF(설정!$B$19&lt;=1,ROUND(IF(설정!$B$18="판매가 마진",$F20/(1-$H20),$F20*(1+$H20)),0),CEILING(IF(설정!$B$18="판매가 마진",$F20/(1-$H20),$F20*(1+$H20)),설정!$B$19)),0))</f>
        <v/>
      </c>
      <c r="J20" s="29">
        <f>IF($I20="","",$I20-$F20)</f>
        <v/>
      </c>
      <c r="K20" s="31">
        <f>IF(N($I20)=0,"",$J20/$I20)</f>
        <v/>
      </c>
      <c r="L20" s="29">
        <f>IF($I20="","",$I20*$D20)</f>
        <v/>
      </c>
      <c r="M20" s="29">
        <f>IF($F20="","",$F20*$D20)</f>
        <v/>
      </c>
    </row>
    <row r="21">
      <c r="A21" s="25" t="n"/>
      <c r="B21" s="26" t="n"/>
      <c r="C21" s="23" t="n"/>
      <c r="D21" s="27" t="n"/>
      <c r="E21" s="28">
        <f>IF(N($C21)=0,"",IF(설정!$B$35="원 단위",ROUND($C21*IF($B21="USD",설정!$B$10,IF($B21="CNY",설정!$B$11,1)),0),$C21*IF($B21="USD",설정!$B$10,IF($B21="CNY",설정!$B$11,1))))</f>
        <v/>
      </c>
      <c r="F21" s="29">
        <f>IF($E21="","",IF(설정!$B$36="원 단위",ROUND($E21*(1+설정!$B$16),0),$E21*(1+설정!$B$16)))</f>
        <v/>
      </c>
      <c r="G21" s="30" t="n"/>
      <c r="H21" s="31">
        <f>IF($E21="","",IF($G21="",설정!$B$17,$G21))</f>
        <v/>
      </c>
      <c r="I21" s="29">
        <f>IF($F21="","",IFERROR(IF(설정!$B$19&lt;=1,ROUND(IF(설정!$B$18="판매가 마진",$F21/(1-$H21),$F21*(1+$H21)),0),CEILING(IF(설정!$B$18="판매가 마진",$F21/(1-$H21),$F21*(1+$H21)),설정!$B$19)),0))</f>
        <v/>
      </c>
      <c r="J21" s="29">
        <f>IF($I21="","",$I21-$F21)</f>
        <v/>
      </c>
      <c r="K21" s="31">
        <f>IF(N($I21)=0,"",$J21/$I21)</f>
        <v/>
      </c>
      <c r="L21" s="29">
        <f>IF($I21="","",$I21*$D21)</f>
        <v/>
      </c>
      <c r="M21" s="29">
        <f>IF($F21="","",$F21*$D21)</f>
        <v/>
      </c>
    </row>
    <row r="22">
      <c r="A22" s="25" t="n"/>
      <c r="B22" s="26" t="n"/>
      <c r="C22" s="23" t="n"/>
      <c r="D22" s="27" t="n"/>
      <c r="E22" s="28">
        <f>IF(N($C22)=0,"",IF(설정!$B$35="원 단위",ROUND($C22*IF($B22="USD",설정!$B$10,IF($B22="CNY",설정!$B$11,1)),0),$C22*IF($B22="USD",설정!$B$10,IF($B22="CNY",설정!$B$11,1))))</f>
        <v/>
      </c>
      <c r="F22" s="29">
        <f>IF($E22="","",IF(설정!$B$36="원 단위",ROUND($E22*(1+설정!$B$16),0),$E22*(1+설정!$B$16)))</f>
        <v/>
      </c>
      <c r="G22" s="30" t="n"/>
      <c r="H22" s="31">
        <f>IF($E22="","",IF($G22="",설정!$B$17,$G22))</f>
        <v/>
      </c>
      <c r="I22" s="29">
        <f>IF($F22="","",IFERROR(IF(설정!$B$19&lt;=1,ROUND(IF(설정!$B$18="판매가 마진",$F22/(1-$H22),$F22*(1+$H22)),0),CEILING(IF(설정!$B$18="판매가 마진",$F22/(1-$H22),$F22*(1+$H22)),설정!$B$19)),0))</f>
        <v/>
      </c>
      <c r="J22" s="29">
        <f>IF($I22="","",$I22-$F22)</f>
        <v/>
      </c>
      <c r="K22" s="31">
        <f>IF(N($I22)=0,"",$J22/$I22)</f>
        <v/>
      </c>
      <c r="L22" s="29">
        <f>IF($I22="","",$I22*$D22)</f>
        <v/>
      </c>
      <c r="M22" s="29">
        <f>IF($F22="","",$F22*$D22)</f>
        <v/>
      </c>
    </row>
    <row r="23">
      <c r="A23" s="25" t="n"/>
      <c r="B23" s="26" t="n"/>
      <c r="C23" s="23" t="n"/>
      <c r="D23" s="27" t="n"/>
      <c r="E23" s="28">
        <f>IF(N($C23)=0,"",IF(설정!$B$35="원 단위",ROUND($C23*IF($B23="USD",설정!$B$10,IF($B23="CNY",설정!$B$11,1)),0),$C23*IF($B23="USD",설정!$B$10,IF($B23="CNY",설정!$B$11,1))))</f>
        <v/>
      </c>
      <c r="F23" s="29">
        <f>IF($E23="","",IF(설정!$B$36="원 단위",ROUND($E23*(1+설정!$B$16),0),$E23*(1+설정!$B$16)))</f>
        <v/>
      </c>
      <c r="G23" s="30" t="n"/>
      <c r="H23" s="31">
        <f>IF($E23="","",IF($G23="",설정!$B$17,$G23))</f>
        <v/>
      </c>
      <c r="I23" s="29">
        <f>IF($F23="","",IFERROR(IF(설정!$B$19&lt;=1,ROUND(IF(설정!$B$18="판매가 마진",$F23/(1-$H23),$F23*(1+$H23)),0),CEILING(IF(설정!$B$18="판매가 마진",$F23/(1-$H23),$F23*(1+$H23)),설정!$B$19)),0))</f>
        <v/>
      </c>
      <c r="J23" s="29">
        <f>IF($I23="","",$I23-$F23)</f>
        <v/>
      </c>
      <c r="K23" s="31">
        <f>IF(N($I23)=0,"",$J23/$I23)</f>
        <v/>
      </c>
      <c r="L23" s="29">
        <f>IF($I23="","",$I23*$D23)</f>
        <v/>
      </c>
      <c r="M23" s="29">
        <f>IF($F23="","",$F23*$D23)</f>
        <v/>
      </c>
    </row>
    <row r="24">
      <c r="A24" s="25" t="n"/>
      <c r="B24" s="26" t="n"/>
      <c r="C24" s="23" t="n"/>
      <c r="D24" s="27" t="n"/>
      <c r="E24" s="28">
        <f>IF(N($C24)=0,"",IF(설정!$B$35="원 단위",ROUND($C24*IF($B24="USD",설정!$B$10,IF($B24="CNY",설정!$B$11,1)),0),$C24*IF($B24="USD",설정!$B$10,IF($B24="CNY",설정!$B$11,1))))</f>
        <v/>
      </c>
      <c r="F24" s="29">
        <f>IF($E24="","",IF(설정!$B$36="원 단위",ROUND($E24*(1+설정!$B$16),0),$E24*(1+설정!$B$16)))</f>
        <v/>
      </c>
      <c r="G24" s="30" t="n"/>
      <c r="H24" s="31">
        <f>IF($E24="","",IF($G24="",설정!$B$17,$G24))</f>
        <v/>
      </c>
      <c r="I24" s="29">
        <f>IF($F24="","",IFERROR(IF(설정!$B$19&lt;=1,ROUND(IF(설정!$B$18="판매가 마진",$F24/(1-$H24),$F24*(1+$H24)),0),CEILING(IF(설정!$B$18="판매가 마진",$F24/(1-$H24),$F24*(1+$H24)),설정!$B$19)),0))</f>
        <v/>
      </c>
      <c r="J24" s="29">
        <f>IF($I24="","",$I24-$F24)</f>
        <v/>
      </c>
      <c r="K24" s="31">
        <f>IF(N($I24)=0,"",$J24/$I24)</f>
        <v/>
      </c>
      <c r="L24" s="29">
        <f>IF($I24="","",$I24*$D24)</f>
        <v/>
      </c>
      <c r="M24" s="29">
        <f>IF($F24="","",$F24*$D24)</f>
        <v/>
      </c>
    </row>
    <row r="25">
      <c r="A25" s="25" t="n"/>
      <c r="B25" s="26" t="n"/>
      <c r="C25" s="23" t="n"/>
      <c r="D25" s="27" t="n"/>
      <c r="E25" s="28">
        <f>IF(N($C25)=0,"",IF(설정!$B$35="원 단위",ROUND($C25*IF($B25="USD",설정!$B$10,IF($B25="CNY",설정!$B$11,1)),0),$C25*IF($B25="USD",설정!$B$10,IF($B25="CNY",설정!$B$11,1))))</f>
        <v/>
      </c>
      <c r="F25" s="29">
        <f>IF($E25="","",IF(설정!$B$36="원 단위",ROUND($E25*(1+설정!$B$16),0),$E25*(1+설정!$B$16)))</f>
        <v/>
      </c>
      <c r="G25" s="30" t="n"/>
      <c r="H25" s="31">
        <f>IF($E25="","",IF($G25="",설정!$B$17,$G25))</f>
        <v/>
      </c>
      <c r="I25" s="29">
        <f>IF($F25="","",IFERROR(IF(설정!$B$19&lt;=1,ROUND(IF(설정!$B$18="판매가 마진",$F25/(1-$H25),$F25*(1+$H25)),0),CEILING(IF(설정!$B$18="판매가 마진",$F25/(1-$H25),$F25*(1+$H25)),설정!$B$19)),0))</f>
        <v/>
      </c>
      <c r="J25" s="29">
        <f>IF($I25="","",$I25-$F25)</f>
        <v/>
      </c>
      <c r="K25" s="31">
        <f>IF(N($I25)=0,"",$J25/$I25)</f>
        <v/>
      </c>
      <c r="L25" s="29">
        <f>IF($I25="","",$I25*$D25)</f>
        <v/>
      </c>
      <c r="M25" s="29">
        <f>IF($F25="","",$F25*$D25)</f>
        <v/>
      </c>
    </row>
    <row r="26">
      <c r="A26" s="25" t="n"/>
      <c r="B26" s="26" t="n"/>
      <c r="C26" s="23" t="n"/>
      <c r="D26" s="27" t="n"/>
      <c r="E26" s="28">
        <f>IF(N($C26)=0,"",IF(설정!$B$35="원 단위",ROUND($C26*IF($B26="USD",설정!$B$10,IF($B26="CNY",설정!$B$11,1)),0),$C26*IF($B26="USD",설정!$B$10,IF($B26="CNY",설정!$B$11,1))))</f>
        <v/>
      </c>
      <c r="F26" s="29">
        <f>IF($E26="","",IF(설정!$B$36="원 단위",ROUND($E26*(1+설정!$B$16),0),$E26*(1+설정!$B$16)))</f>
        <v/>
      </c>
      <c r="G26" s="30" t="n"/>
      <c r="H26" s="31">
        <f>IF($E26="","",IF($G26="",설정!$B$17,$G26))</f>
        <v/>
      </c>
      <c r="I26" s="29">
        <f>IF($F26="","",IFERROR(IF(설정!$B$19&lt;=1,ROUND(IF(설정!$B$18="판매가 마진",$F26/(1-$H26),$F26*(1+$H26)),0),CEILING(IF(설정!$B$18="판매가 마진",$F26/(1-$H26),$F26*(1+$H26)),설정!$B$19)),0))</f>
        <v/>
      </c>
      <c r="J26" s="29">
        <f>IF($I26="","",$I26-$F26)</f>
        <v/>
      </c>
      <c r="K26" s="31">
        <f>IF(N($I26)=0,"",$J26/$I26)</f>
        <v/>
      </c>
      <c r="L26" s="29">
        <f>IF($I26="","",$I26*$D26)</f>
        <v/>
      </c>
      <c r="M26" s="29">
        <f>IF($F26="","",$F26*$D26)</f>
        <v/>
      </c>
    </row>
    <row r="27">
      <c r="A27" s="25" t="n"/>
      <c r="B27" s="26" t="n"/>
      <c r="C27" s="23" t="n"/>
      <c r="D27" s="27" t="n"/>
      <c r="E27" s="28">
        <f>IF(N($C27)=0,"",IF(설정!$B$35="원 단위",ROUND($C27*IF($B27="USD",설정!$B$10,IF($B27="CNY",설정!$B$11,1)),0),$C27*IF($B27="USD",설정!$B$10,IF($B27="CNY",설정!$B$11,1))))</f>
        <v/>
      </c>
      <c r="F27" s="29">
        <f>IF($E27="","",IF(설정!$B$36="원 단위",ROUND($E27*(1+설정!$B$16),0),$E27*(1+설정!$B$16)))</f>
        <v/>
      </c>
      <c r="G27" s="30" t="n"/>
      <c r="H27" s="31">
        <f>IF($E27="","",IF($G27="",설정!$B$17,$G27))</f>
        <v/>
      </c>
      <c r="I27" s="29">
        <f>IF($F27="","",IFERROR(IF(설정!$B$19&lt;=1,ROUND(IF(설정!$B$18="판매가 마진",$F27/(1-$H27),$F27*(1+$H27)),0),CEILING(IF(설정!$B$18="판매가 마진",$F27/(1-$H27),$F27*(1+$H27)),설정!$B$19)),0))</f>
        <v/>
      </c>
      <c r="J27" s="29">
        <f>IF($I27="","",$I27-$F27)</f>
        <v/>
      </c>
      <c r="K27" s="31">
        <f>IF(N($I27)=0,"",$J27/$I27)</f>
        <v/>
      </c>
      <c r="L27" s="29">
        <f>IF($I27="","",$I27*$D27)</f>
        <v/>
      </c>
      <c r="M27" s="29">
        <f>IF($F27="","",$F27*$D27)</f>
        <v/>
      </c>
    </row>
    <row r="28">
      <c r="A28" s="25" t="n"/>
      <c r="B28" s="26" t="n"/>
      <c r="C28" s="23" t="n"/>
      <c r="D28" s="27" t="n"/>
      <c r="E28" s="28">
        <f>IF(N($C28)=0,"",IF(설정!$B$35="원 단위",ROUND($C28*IF($B28="USD",설정!$B$10,IF($B28="CNY",설정!$B$11,1)),0),$C28*IF($B28="USD",설정!$B$10,IF($B28="CNY",설정!$B$11,1))))</f>
        <v/>
      </c>
      <c r="F28" s="29">
        <f>IF($E28="","",IF(설정!$B$36="원 단위",ROUND($E28*(1+설정!$B$16),0),$E28*(1+설정!$B$16)))</f>
        <v/>
      </c>
      <c r="G28" s="30" t="n"/>
      <c r="H28" s="31">
        <f>IF($E28="","",IF($G28="",설정!$B$17,$G28))</f>
        <v/>
      </c>
      <c r="I28" s="29">
        <f>IF($F28="","",IFERROR(IF(설정!$B$19&lt;=1,ROUND(IF(설정!$B$18="판매가 마진",$F28/(1-$H28),$F28*(1+$H28)),0),CEILING(IF(설정!$B$18="판매가 마진",$F28/(1-$H28),$F28*(1+$H28)),설정!$B$19)),0))</f>
        <v/>
      </c>
      <c r="J28" s="29">
        <f>IF($I28="","",$I28-$F28)</f>
        <v/>
      </c>
      <c r="K28" s="31">
        <f>IF(N($I28)=0,"",$J28/$I28)</f>
        <v/>
      </c>
      <c r="L28" s="29">
        <f>IF($I28="","",$I28*$D28)</f>
        <v/>
      </c>
      <c r="M28" s="29">
        <f>IF($F28="","",$F28*$D28)</f>
        <v/>
      </c>
    </row>
    <row r="29">
      <c r="A29" s="25" t="n"/>
      <c r="B29" s="26" t="n"/>
      <c r="C29" s="23" t="n"/>
      <c r="D29" s="27" t="n"/>
      <c r="E29" s="28">
        <f>IF(N($C29)=0,"",IF(설정!$B$35="원 단위",ROUND($C29*IF($B29="USD",설정!$B$10,IF($B29="CNY",설정!$B$11,1)),0),$C29*IF($B29="USD",설정!$B$10,IF($B29="CNY",설정!$B$11,1))))</f>
        <v/>
      </c>
      <c r="F29" s="29">
        <f>IF($E29="","",IF(설정!$B$36="원 단위",ROUND($E29*(1+설정!$B$16),0),$E29*(1+설정!$B$16)))</f>
        <v/>
      </c>
      <c r="G29" s="30" t="n"/>
      <c r="H29" s="31">
        <f>IF($E29="","",IF($G29="",설정!$B$17,$G29))</f>
        <v/>
      </c>
      <c r="I29" s="29">
        <f>IF($F29="","",IFERROR(IF(설정!$B$19&lt;=1,ROUND(IF(설정!$B$18="판매가 마진",$F29/(1-$H29),$F29*(1+$H29)),0),CEILING(IF(설정!$B$18="판매가 마진",$F29/(1-$H29),$F29*(1+$H29)),설정!$B$19)),0))</f>
        <v/>
      </c>
      <c r="J29" s="29">
        <f>IF($I29="","",$I29-$F29)</f>
        <v/>
      </c>
      <c r="K29" s="31">
        <f>IF(N($I29)=0,"",$J29/$I29)</f>
        <v/>
      </c>
      <c r="L29" s="29">
        <f>IF($I29="","",$I29*$D29)</f>
        <v/>
      </c>
      <c r="M29" s="29">
        <f>IF($F29="","",$F29*$D29)</f>
        <v/>
      </c>
    </row>
    <row r="30">
      <c r="A30" s="25" t="n"/>
      <c r="B30" s="26" t="n"/>
      <c r="C30" s="23" t="n"/>
      <c r="D30" s="27" t="n"/>
      <c r="E30" s="28">
        <f>IF(N($C30)=0,"",IF(설정!$B$35="원 단위",ROUND($C30*IF($B30="USD",설정!$B$10,IF($B30="CNY",설정!$B$11,1)),0),$C30*IF($B30="USD",설정!$B$10,IF($B30="CNY",설정!$B$11,1))))</f>
        <v/>
      </c>
      <c r="F30" s="29">
        <f>IF($E30="","",IF(설정!$B$36="원 단위",ROUND($E30*(1+설정!$B$16),0),$E30*(1+설정!$B$16)))</f>
        <v/>
      </c>
      <c r="G30" s="30" t="n"/>
      <c r="H30" s="31">
        <f>IF($E30="","",IF($G30="",설정!$B$17,$G30))</f>
        <v/>
      </c>
      <c r="I30" s="29">
        <f>IF($F30="","",IFERROR(IF(설정!$B$19&lt;=1,ROUND(IF(설정!$B$18="판매가 마진",$F30/(1-$H30),$F30*(1+$H30)),0),CEILING(IF(설정!$B$18="판매가 마진",$F30/(1-$H30),$F30*(1+$H30)),설정!$B$19)),0))</f>
        <v/>
      </c>
      <c r="J30" s="29">
        <f>IF($I30="","",$I30-$F30)</f>
        <v/>
      </c>
      <c r="K30" s="31">
        <f>IF(N($I30)=0,"",$J30/$I30)</f>
        <v/>
      </c>
      <c r="L30" s="29">
        <f>IF($I30="","",$I30*$D30)</f>
        <v/>
      </c>
      <c r="M30" s="29">
        <f>IF($F30="","",$F30*$D30)</f>
        <v/>
      </c>
    </row>
    <row r="31">
      <c r="A31" s="25" t="n"/>
      <c r="B31" s="26" t="n"/>
      <c r="C31" s="23" t="n"/>
      <c r="D31" s="27" t="n"/>
      <c r="E31" s="28">
        <f>IF(N($C31)=0,"",IF(설정!$B$35="원 단위",ROUND($C31*IF($B31="USD",설정!$B$10,IF($B31="CNY",설정!$B$11,1)),0),$C31*IF($B31="USD",설정!$B$10,IF($B31="CNY",설정!$B$11,1))))</f>
        <v/>
      </c>
      <c r="F31" s="29">
        <f>IF($E31="","",IF(설정!$B$36="원 단위",ROUND($E31*(1+설정!$B$16),0),$E31*(1+설정!$B$16)))</f>
        <v/>
      </c>
      <c r="G31" s="30" t="n"/>
      <c r="H31" s="31">
        <f>IF($E31="","",IF($G31="",설정!$B$17,$G31))</f>
        <v/>
      </c>
      <c r="I31" s="29">
        <f>IF($F31="","",IFERROR(IF(설정!$B$19&lt;=1,ROUND(IF(설정!$B$18="판매가 마진",$F31/(1-$H31),$F31*(1+$H31)),0),CEILING(IF(설정!$B$18="판매가 마진",$F31/(1-$H31),$F31*(1+$H31)),설정!$B$19)),0))</f>
        <v/>
      </c>
      <c r="J31" s="29">
        <f>IF($I31="","",$I31-$F31)</f>
        <v/>
      </c>
      <c r="K31" s="31">
        <f>IF(N($I31)=0,"",$J31/$I31)</f>
        <v/>
      </c>
      <c r="L31" s="29">
        <f>IF($I31="","",$I31*$D31)</f>
        <v/>
      </c>
      <c r="M31" s="29">
        <f>IF($F31="","",$F31*$D31)</f>
        <v/>
      </c>
    </row>
    <row r="32">
      <c r="A32" s="25" t="n"/>
      <c r="B32" s="26" t="n"/>
      <c r="C32" s="23" t="n"/>
      <c r="D32" s="27" t="n"/>
      <c r="E32" s="28">
        <f>IF(N($C32)=0,"",IF(설정!$B$35="원 단위",ROUND($C32*IF($B32="USD",설정!$B$10,IF($B32="CNY",설정!$B$11,1)),0),$C32*IF($B32="USD",설정!$B$10,IF($B32="CNY",설정!$B$11,1))))</f>
        <v/>
      </c>
      <c r="F32" s="29">
        <f>IF($E32="","",IF(설정!$B$36="원 단위",ROUND($E32*(1+설정!$B$16),0),$E32*(1+설정!$B$16)))</f>
        <v/>
      </c>
      <c r="G32" s="30" t="n"/>
      <c r="H32" s="31">
        <f>IF($E32="","",IF($G32="",설정!$B$17,$G32))</f>
        <v/>
      </c>
      <c r="I32" s="29">
        <f>IF($F32="","",IFERROR(IF(설정!$B$19&lt;=1,ROUND(IF(설정!$B$18="판매가 마진",$F32/(1-$H32),$F32*(1+$H32)),0),CEILING(IF(설정!$B$18="판매가 마진",$F32/(1-$H32),$F32*(1+$H32)),설정!$B$19)),0))</f>
        <v/>
      </c>
      <c r="J32" s="29">
        <f>IF($I32="","",$I32-$F32)</f>
        <v/>
      </c>
      <c r="K32" s="31">
        <f>IF(N($I32)=0,"",$J32/$I32)</f>
        <v/>
      </c>
      <c r="L32" s="29">
        <f>IF($I32="","",$I32*$D32)</f>
        <v/>
      </c>
      <c r="M32" s="29">
        <f>IF($F32="","",$F32*$D32)</f>
        <v/>
      </c>
    </row>
    <row r="33">
      <c r="A33" s="25" t="n"/>
      <c r="B33" s="26" t="n"/>
      <c r="C33" s="23" t="n"/>
      <c r="D33" s="27" t="n"/>
      <c r="E33" s="28">
        <f>IF(N($C33)=0,"",IF(설정!$B$35="원 단위",ROUND($C33*IF($B33="USD",설정!$B$10,IF($B33="CNY",설정!$B$11,1)),0),$C33*IF($B33="USD",설정!$B$10,IF($B33="CNY",설정!$B$11,1))))</f>
        <v/>
      </c>
      <c r="F33" s="29">
        <f>IF($E33="","",IF(설정!$B$36="원 단위",ROUND($E33*(1+설정!$B$16),0),$E33*(1+설정!$B$16)))</f>
        <v/>
      </c>
      <c r="G33" s="30" t="n"/>
      <c r="H33" s="31">
        <f>IF($E33="","",IF($G33="",설정!$B$17,$G33))</f>
        <v/>
      </c>
      <c r="I33" s="29">
        <f>IF($F33="","",IFERROR(IF(설정!$B$19&lt;=1,ROUND(IF(설정!$B$18="판매가 마진",$F33/(1-$H33),$F33*(1+$H33)),0),CEILING(IF(설정!$B$18="판매가 마진",$F33/(1-$H33),$F33*(1+$H33)),설정!$B$19)),0))</f>
        <v/>
      </c>
      <c r="J33" s="29">
        <f>IF($I33="","",$I33-$F33)</f>
        <v/>
      </c>
      <c r="K33" s="31">
        <f>IF(N($I33)=0,"",$J33/$I33)</f>
        <v/>
      </c>
      <c r="L33" s="29">
        <f>IF($I33="","",$I33*$D33)</f>
        <v/>
      </c>
      <c r="M33" s="29">
        <f>IF($F33="","",$F33*$D33)</f>
        <v/>
      </c>
    </row>
    <row r="34">
      <c r="A34" s="25" t="n"/>
      <c r="B34" s="26" t="n"/>
      <c r="C34" s="23" t="n"/>
      <c r="D34" s="27" t="n"/>
      <c r="E34" s="28">
        <f>IF(N($C34)=0,"",IF(설정!$B$35="원 단위",ROUND($C34*IF($B34="USD",설정!$B$10,IF($B34="CNY",설정!$B$11,1)),0),$C34*IF($B34="USD",설정!$B$10,IF($B34="CNY",설정!$B$11,1))))</f>
        <v/>
      </c>
      <c r="F34" s="29">
        <f>IF($E34="","",IF(설정!$B$36="원 단위",ROUND($E34*(1+설정!$B$16),0),$E34*(1+설정!$B$16)))</f>
        <v/>
      </c>
      <c r="G34" s="30" t="n"/>
      <c r="H34" s="31">
        <f>IF($E34="","",IF($G34="",설정!$B$17,$G34))</f>
        <v/>
      </c>
      <c r="I34" s="29">
        <f>IF($F34="","",IFERROR(IF(설정!$B$19&lt;=1,ROUND(IF(설정!$B$18="판매가 마진",$F34/(1-$H34),$F34*(1+$H34)),0),CEILING(IF(설정!$B$18="판매가 마진",$F34/(1-$H34),$F34*(1+$H34)),설정!$B$19)),0))</f>
        <v/>
      </c>
      <c r="J34" s="29">
        <f>IF($I34="","",$I34-$F34)</f>
        <v/>
      </c>
      <c r="K34" s="31">
        <f>IF(N($I34)=0,"",$J34/$I34)</f>
        <v/>
      </c>
      <c r="L34" s="29">
        <f>IF($I34="","",$I34*$D34)</f>
        <v/>
      </c>
      <c r="M34" s="29">
        <f>IF($F34="","",$F34*$D34)</f>
        <v/>
      </c>
    </row>
    <row r="35">
      <c r="A35" s="25" t="n"/>
      <c r="B35" s="26" t="n"/>
      <c r="C35" s="23" t="n"/>
      <c r="D35" s="27" t="n"/>
      <c r="E35" s="28">
        <f>IF(N($C35)=0,"",IF(설정!$B$35="원 단위",ROUND($C35*IF($B35="USD",설정!$B$10,IF($B35="CNY",설정!$B$11,1)),0),$C35*IF($B35="USD",설정!$B$10,IF($B35="CNY",설정!$B$11,1))))</f>
        <v/>
      </c>
      <c r="F35" s="29">
        <f>IF($E35="","",IF(설정!$B$36="원 단위",ROUND($E35*(1+설정!$B$16),0),$E35*(1+설정!$B$16)))</f>
        <v/>
      </c>
      <c r="G35" s="30" t="n"/>
      <c r="H35" s="31">
        <f>IF($E35="","",IF($G35="",설정!$B$17,$G35))</f>
        <v/>
      </c>
      <c r="I35" s="29">
        <f>IF($F35="","",IFERROR(IF(설정!$B$19&lt;=1,ROUND(IF(설정!$B$18="판매가 마진",$F35/(1-$H35),$F35*(1+$H35)),0),CEILING(IF(설정!$B$18="판매가 마진",$F35/(1-$H35),$F35*(1+$H35)),설정!$B$19)),0))</f>
        <v/>
      </c>
      <c r="J35" s="29">
        <f>IF($I35="","",$I35-$F35)</f>
        <v/>
      </c>
      <c r="K35" s="31">
        <f>IF(N($I35)=0,"",$J35/$I35)</f>
        <v/>
      </c>
      <c r="L35" s="29">
        <f>IF($I35="","",$I35*$D35)</f>
        <v/>
      </c>
      <c r="M35" s="29">
        <f>IF($F35="","",$F35*$D35)</f>
        <v/>
      </c>
    </row>
    <row r="36">
      <c r="A36" s="25" t="n"/>
      <c r="B36" s="26" t="n"/>
      <c r="C36" s="23" t="n"/>
      <c r="D36" s="27" t="n"/>
      <c r="E36" s="28">
        <f>IF(N($C36)=0,"",IF(설정!$B$35="원 단위",ROUND($C36*IF($B36="USD",설정!$B$10,IF($B36="CNY",설정!$B$11,1)),0),$C36*IF($B36="USD",설정!$B$10,IF($B36="CNY",설정!$B$11,1))))</f>
        <v/>
      </c>
      <c r="F36" s="29">
        <f>IF($E36="","",IF(설정!$B$36="원 단위",ROUND($E36*(1+설정!$B$16),0),$E36*(1+설정!$B$16)))</f>
        <v/>
      </c>
      <c r="G36" s="30" t="n"/>
      <c r="H36" s="31">
        <f>IF($E36="","",IF($G36="",설정!$B$17,$G36))</f>
        <v/>
      </c>
      <c r="I36" s="29">
        <f>IF($F36="","",IFERROR(IF(설정!$B$19&lt;=1,ROUND(IF(설정!$B$18="판매가 마진",$F36/(1-$H36),$F36*(1+$H36)),0),CEILING(IF(설정!$B$18="판매가 마진",$F36/(1-$H36),$F36*(1+$H36)),설정!$B$19)),0))</f>
        <v/>
      </c>
      <c r="J36" s="29">
        <f>IF($I36="","",$I36-$F36)</f>
        <v/>
      </c>
      <c r="K36" s="31">
        <f>IF(N($I36)=0,"",$J36/$I36)</f>
        <v/>
      </c>
      <c r="L36" s="29">
        <f>IF($I36="","",$I36*$D36)</f>
        <v/>
      </c>
      <c r="M36" s="29">
        <f>IF($F36="","",$F36*$D36)</f>
        <v/>
      </c>
    </row>
    <row r="37">
      <c r="A37" s="25" t="n"/>
      <c r="B37" s="26" t="n"/>
      <c r="C37" s="23" t="n"/>
      <c r="D37" s="27" t="n"/>
      <c r="E37" s="28">
        <f>IF(N($C37)=0,"",IF(설정!$B$35="원 단위",ROUND($C37*IF($B37="USD",설정!$B$10,IF($B37="CNY",설정!$B$11,1)),0),$C37*IF($B37="USD",설정!$B$10,IF($B37="CNY",설정!$B$11,1))))</f>
        <v/>
      </c>
      <c r="F37" s="29">
        <f>IF($E37="","",IF(설정!$B$36="원 단위",ROUND($E37*(1+설정!$B$16),0),$E37*(1+설정!$B$16)))</f>
        <v/>
      </c>
      <c r="G37" s="30" t="n"/>
      <c r="H37" s="31">
        <f>IF($E37="","",IF($G37="",설정!$B$17,$G37))</f>
        <v/>
      </c>
      <c r="I37" s="29">
        <f>IF($F37="","",IFERROR(IF(설정!$B$19&lt;=1,ROUND(IF(설정!$B$18="판매가 마진",$F37/(1-$H37),$F37*(1+$H37)),0),CEILING(IF(설정!$B$18="판매가 마진",$F37/(1-$H37),$F37*(1+$H37)),설정!$B$19)),0))</f>
        <v/>
      </c>
      <c r="J37" s="29">
        <f>IF($I37="","",$I37-$F37)</f>
        <v/>
      </c>
      <c r="K37" s="31">
        <f>IF(N($I37)=0,"",$J37/$I37)</f>
        <v/>
      </c>
      <c r="L37" s="29">
        <f>IF($I37="","",$I37*$D37)</f>
        <v/>
      </c>
      <c r="M37" s="29">
        <f>IF($F37="","",$F37*$D37)</f>
        <v/>
      </c>
    </row>
    <row r="38">
      <c r="A38" s="25" t="n"/>
      <c r="B38" s="26" t="n"/>
      <c r="C38" s="23" t="n"/>
      <c r="D38" s="27" t="n"/>
      <c r="E38" s="28">
        <f>IF(N($C38)=0,"",IF(설정!$B$35="원 단위",ROUND($C38*IF($B38="USD",설정!$B$10,IF($B38="CNY",설정!$B$11,1)),0),$C38*IF($B38="USD",설정!$B$10,IF($B38="CNY",설정!$B$11,1))))</f>
        <v/>
      </c>
      <c r="F38" s="29">
        <f>IF($E38="","",IF(설정!$B$36="원 단위",ROUND($E38*(1+설정!$B$16),0),$E38*(1+설정!$B$16)))</f>
        <v/>
      </c>
      <c r="G38" s="30" t="n"/>
      <c r="H38" s="31">
        <f>IF($E38="","",IF($G38="",설정!$B$17,$G38))</f>
        <v/>
      </c>
      <c r="I38" s="29">
        <f>IF($F38="","",IFERROR(IF(설정!$B$19&lt;=1,ROUND(IF(설정!$B$18="판매가 마진",$F38/(1-$H38),$F38*(1+$H38)),0),CEILING(IF(설정!$B$18="판매가 마진",$F38/(1-$H38),$F38*(1+$H38)),설정!$B$19)),0))</f>
        <v/>
      </c>
      <c r="J38" s="29">
        <f>IF($I38="","",$I38-$F38)</f>
        <v/>
      </c>
      <c r="K38" s="31">
        <f>IF(N($I38)=0,"",$J38/$I38)</f>
        <v/>
      </c>
      <c r="L38" s="29">
        <f>IF($I38="","",$I38*$D38)</f>
        <v/>
      </c>
      <c r="M38" s="29">
        <f>IF($F38="","",$F38*$D38)</f>
        <v/>
      </c>
    </row>
    <row r="39">
      <c r="A39" s="25" t="n"/>
      <c r="B39" s="26" t="n"/>
      <c r="C39" s="23" t="n"/>
      <c r="D39" s="27" t="n"/>
      <c r="E39" s="28">
        <f>IF(N($C39)=0,"",IF(설정!$B$35="원 단위",ROUND($C39*IF($B39="USD",설정!$B$10,IF($B39="CNY",설정!$B$11,1)),0),$C39*IF($B39="USD",설정!$B$10,IF($B39="CNY",설정!$B$11,1))))</f>
        <v/>
      </c>
      <c r="F39" s="29">
        <f>IF($E39="","",IF(설정!$B$36="원 단위",ROUND($E39*(1+설정!$B$16),0),$E39*(1+설정!$B$16)))</f>
        <v/>
      </c>
      <c r="G39" s="30" t="n"/>
      <c r="H39" s="31">
        <f>IF($E39="","",IF($G39="",설정!$B$17,$G39))</f>
        <v/>
      </c>
      <c r="I39" s="29">
        <f>IF($F39="","",IFERROR(IF(설정!$B$19&lt;=1,ROUND(IF(설정!$B$18="판매가 마진",$F39/(1-$H39),$F39*(1+$H39)),0),CEILING(IF(설정!$B$18="판매가 마진",$F39/(1-$H39),$F39*(1+$H39)),설정!$B$19)),0))</f>
        <v/>
      </c>
      <c r="J39" s="29">
        <f>IF($I39="","",$I39-$F39)</f>
        <v/>
      </c>
      <c r="K39" s="31">
        <f>IF(N($I39)=0,"",$J39/$I39)</f>
        <v/>
      </c>
      <c r="L39" s="29">
        <f>IF($I39="","",$I39*$D39)</f>
        <v/>
      </c>
      <c r="M39" s="29">
        <f>IF($F39="","",$F39*$D39)</f>
        <v/>
      </c>
    </row>
    <row r="40">
      <c r="A40" s="25" t="n"/>
      <c r="B40" s="26" t="n"/>
      <c r="C40" s="23" t="n"/>
      <c r="D40" s="27" t="n"/>
      <c r="E40" s="28">
        <f>IF(N($C40)=0,"",IF(설정!$B$35="원 단위",ROUND($C40*IF($B40="USD",설정!$B$10,IF($B40="CNY",설정!$B$11,1)),0),$C40*IF($B40="USD",설정!$B$10,IF($B40="CNY",설정!$B$11,1))))</f>
        <v/>
      </c>
      <c r="F40" s="29">
        <f>IF($E40="","",IF(설정!$B$36="원 단위",ROUND($E40*(1+설정!$B$16),0),$E40*(1+설정!$B$16)))</f>
        <v/>
      </c>
      <c r="G40" s="30" t="n"/>
      <c r="H40" s="31">
        <f>IF($E40="","",IF($G40="",설정!$B$17,$G40))</f>
        <v/>
      </c>
      <c r="I40" s="29">
        <f>IF($F40="","",IFERROR(IF(설정!$B$19&lt;=1,ROUND(IF(설정!$B$18="판매가 마진",$F40/(1-$H40),$F40*(1+$H40)),0),CEILING(IF(설정!$B$18="판매가 마진",$F40/(1-$H40),$F40*(1+$H40)),설정!$B$19)),0))</f>
        <v/>
      </c>
      <c r="J40" s="29">
        <f>IF($I40="","",$I40-$F40)</f>
        <v/>
      </c>
      <c r="K40" s="31">
        <f>IF(N($I40)=0,"",$J40/$I40)</f>
        <v/>
      </c>
      <c r="L40" s="29">
        <f>IF($I40="","",$I40*$D40)</f>
        <v/>
      </c>
      <c r="M40" s="29">
        <f>IF($F40="","",$F40*$D40)</f>
        <v/>
      </c>
    </row>
    <row r="41">
      <c r="A41" s="25" t="n"/>
      <c r="B41" s="26" t="n"/>
      <c r="C41" s="23" t="n"/>
      <c r="D41" s="27" t="n"/>
      <c r="E41" s="28">
        <f>IF(N($C41)=0,"",IF(설정!$B$35="원 단위",ROUND($C41*IF($B41="USD",설정!$B$10,IF($B41="CNY",설정!$B$11,1)),0),$C41*IF($B41="USD",설정!$B$10,IF($B41="CNY",설정!$B$11,1))))</f>
        <v/>
      </c>
      <c r="F41" s="29">
        <f>IF($E41="","",IF(설정!$B$36="원 단위",ROUND($E41*(1+설정!$B$16),0),$E41*(1+설정!$B$16)))</f>
        <v/>
      </c>
      <c r="G41" s="30" t="n"/>
      <c r="H41" s="31">
        <f>IF($E41="","",IF($G41="",설정!$B$17,$G41))</f>
        <v/>
      </c>
      <c r="I41" s="29">
        <f>IF($F41="","",IFERROR(IF(설정!$B$19&lt;=1,ROUND(IF(설정!$B$18="판매가 마진",$F41/(1-$H41),$F41*(1+$H41)),0),CEILING(IF(설정!$B$18="판매가 마진",$F41/(1-$H41),$F41*(1+$H41)),설정!$B$19)),0))</f>
        <v/>
      </c>
      <c r="J41" s="29">
        <f>IF($I41="","",$I41-$F41)</f>
        <v/>
      </c>
      <c r="K41" s="31">
        <f>IF(N($I41)=0,"",$J41/$I41)</f>
        <v/>
      </c>
      <c r="L41" s="29">
        <f>IF($I41="","",$I41*$D41)</f>
        <v/>
      </c>
      <c r="M41" s="29">
        <f>IF($F41="","",$F41*$D41)</f>
        <v/>
      </c>
    </row>
    <row r="42">
      <c r="A42" s="25" t="n"/>
      <c r="B42" s="26" t="n"/>
      <c r="C42" s="23" t="n"/>
      <c r="D42" s="27" t="n"/>
      <c r="E42" s="28">
        <f>IF(N($C42)=0,"",IF(설정!$B$35="원 단위",ROUND($C42*IF($B42="USD",설정!$B$10,IF($B42="CNY",설정!$B$11,1)),0),$C42*IF($B42="USD",설정!$B$10,IF($B42="CNY",설정!$B$11,1))))</f>
        <v/>
      </c>
      <c r="F42" s="29">
        <f>IF($E42="","",IF(설정!$B$36="원 단위",ROUND($E42*(1+설정!$B$16),0),$E42*(1+설정!$B$16)))</f>
        <v/>
      </c>
      <c r="G42" s="30" t="n"/>
      <c r="H42" s="31">
        <f>IF($E42="","",IF($G42="",설정!$B$17,$G42))</f>
        <v/>
      </c>
      <c r="I42" s="29">
        <f>IF($F42="","",IFERROR(IF(설정!$B$19&lt;=1,ROUND(IF(설정!$B$18="판매가 마진",$F42/(1-$H42),$F42*(1+$H42)),0),CEILING(IF(설정!$B$18="판매가 마진",$F42/(1-$H42),$F42*(1+$H42)),설정!$B$19)),0))</f>
        <v/>
      </c>
      <c r="J42" s="29">
        <f>IF($I42="","",$I42-$F42)</f>
        <v/>
      </c>
      <c r="K42" s="31">
        <f>IF(N($I42)=0,"",$J42/$I42)</f>
        <v/>
      </c>
      <c r="L42" s="29">
        <f>IF($I42="","",$I42*$D42)</f>
        <v/>
      </c>
      <c r="M42" s="29">
        <f>IF($F42="","",$F42*$D42)</f>
        <v/>
      </c>
    </row>
    <row r="43">
      <c r="A43" s="25" t="n"/>
      <c r="B43" s="26" t="n"/>
      <c r="C43" s="23" t="n"/>
      <c r="D43" s="27" t="n"/>
      <c r="E43" s="28">
        <f>IF(N($C43)=0,"",IF(설정!$B$35="원 단위",ROUND($C43*IF($B43="USD",설정!$B$10,IF($B43="CNY",설정!$B$11,1)),0),$C43*IF($B43="USD",설정!$B$10,IF($B43="CNY",설정!$B$11,1))))</f>
        <v/>
      </c>
      <c r="F43" s="29">
        <f>IF($E43="","",IF(설정!$B$36="원 단위",ROUND($E43*(1+설정!$B$16),0),$E43*(1+설정!$B$16)))</f>
        <v/>
      </c>
      <c r="G43" s="30" t="n"/>
      <c r="H43" s="31">
        <f>IF($E43="","",IF($G43="",설정!$B$17,$G43))</f>
        <v/>
      </c>
      <c r="I43" s="29">
        <f>IF($F43="","",IFERROR(IF(설정!$B$19&lt;=1,ROUND(IF(설정!$B$18="판매가 마진",$F43/(1-$H43),$F43*(1+$H43)),0),CEILING(IF(설정!$B$18="판매가 마진",$F43/(1-$H43),$F43*(1+$H43)),설정!$B$19)),0))</f>
        <v/>
      </c>
      <c r="J43" s="29">
        <f>IF($I43="","",$I43-$F43)</f>
        <v/>
      </c>
      <c r="K43" s="31">
        <f>IF(N($I43)=0,"",$J43/$I43)</f>
        <v/>
      </c>
      <c r="L43" s="29">
        <f>IF($I43="","",$I43*$D43)</f>
        <v/>
      </c>
      <c r="M43" s="29">
        <f>IF($F43="","",$F43*$D43)</f>
        <v/>
      </c>
    </row>
    <row r="44">
      <c r="A44" s="25" t="n"/>
      <c r="B44" s="26" t="n"/>
      <c r="C44" s="23" t="n"/>
      <c r="D44" s="27" t="n"/>
      <c r="E44" s="28">
        <f>IF(N($C44)=0,"",IF(설정!$B$35="원 단위",ROUND($C44*IF($B44="USD",설정!$B$10,IF($B44="CNY",설정!$B$11,1)),0),$C44*IF($B44="USD",설정!$B$10,IF($B44="CNY",설정!$B$11,1))))</f>
        <v/>
      </c>
      <c r="F44" s="29">
        <f>IF($E44="","",IF(설정!$B$36="원 단위",ROUND($E44*(1+설정!$B$16),0),$E44*(1+설정!$B$16)))</f>
        <v/>
      </c>
      <c r="G44" s="30" t="n"/>
      <c r="H44" s="31">
        <f>IF($E44="","",IF($G44="",설정!$B$17,$G44))</f>
        <v/>
      </c>
      <c r="I44" s="29">
        <f>IF($F44="","",IFERROR(IF(설정!$B$19&lt;=1,ROUND(IF(설정!$B$18="판매가 마진",$F44/(1-$H44),$F44*(1+$H44)),0),CEILING(IF(설정!$B$18="판매가 마진",$F44/(1-$H44),$F44*(1+$H44)),설정!$B$19)),0))</f>
        <v/>
      </c>
      <c r="J44" s="29">
        <f>IF($I44="","",$I44-$F44)</f>
        <v/>
      </c>
      <c r="K44" s="31">
        <f>IF(N($I44)=0,"",$J44/$I44)</f>
        <v/>
      </c>
      <c r="L44" s="29">
        <f>IF($I44="","",$I44*$D44)</f>
        <v/>
      </c>
      <c r="M44" s="29">
        <f>IF($F44="","",$F44*$D44)</f>
        <v/>
      </c>
    </row>
    <row r="45">
      <c r="A45" s="32" t="inlineStr">
        <is>
          <t>합계</t>
        </is>
      </c>
      <c r="B45" s="33" t="n"/>
      <c r="C45" s="33" t="n"/>
      <c r="D45" s="34">
        <f>SUM(D5:D44)</f>
        <v/>
      </c>
      <c r="E45" s="33" t="n"/>
      <c r="F45" s="33" t="n"/>
      <c r="G45" s="33" t="n"/>
      <c r="H45" s="33" t="n"/>
      <c r="I45" s="33" t="n"/>
      <c r="J45" s="35">
        <f>SUM(J5:J44)</f>
        <v/>
      </c>
      <c r="K45" s="36">
        <f>IFERROR(SUM(J5:J44)/SUM(L5:L44),0)</f>
        <v/>
      </c>
      <c r="L45" s="35">
        <f>SUM(L5:L44)</f>
        <v/>
      </c>
      <c r="M45" s="35">
        <f>SUM(M5:M44)</f>
        <v/>
      </c>
    </row>
    <row r="47">
      <c r="A47" s="5" t="inlineStr">
        <is>
          <t>파란 글씨 칸(A~D, G)만 입력하세요. 나머지는 수식입니다.</t>
        </is>
      </c>
    </row>
    <row r="48">
      <c r="A48" s="5" t="inlineStr">
        <is>
          <t>G열 이윤율을 비워 두면 설정 시트의 기본 이윤율이 적용됩니다.</t>
        </is>
      </c>
    </row>
    <row r="49">
      <c r="A49" s="4" t="inlineStr">
        <is>
          <t>샘플 6개 품목은 형식을 보여주기 위한 예시입니다. 실제 품목으로 교체하세요.</t>
        </is>
      </c>
    </row>
    <row r="50">
      <c r="A50" s="5" t="inlineStr">
        <is>
          <t>표시 금액은 모두 부가세 별도, 태성정밀 공급가 기준입니다.</t>
        </is>
      </c>
    </row>
  </sheetData>
  <dataValidations count="1">
    <dataValidation sqref="B5:B44" showDropDown="0" showInputMessage="0" showErrorMessage="0" allowBlank="1" type="list">
      <formula1>"USD,CNY,KRW"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5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8" customWidth="1" min="2" max="2"/>
    <col width="8" customWidth="1" min="3" max="3"/>
    <col width="11" customWidth="1" min="4" max="4"/>
    <col width="13" customWidth="1" min="5" max="5"/>
    <col width="8" customWidth="1" min="6" max="6"/>
    <col width="13" customWidth="1" min="7" max="7"/>
    <col width="13" customWidth="1" min="8" max="8"/>
    <col width="9" customWidth="1" min="9" max="9"/>
    <col width="9" customWidth="1" min="10" max="10"/>
    <col width="13" customWidth="1" min="11" max="11"/>
    <col width="13" customWidth="1" min="12" max="12"/>
    <col width="13" customWidth="1" min="13" max="13"/>
    <col width="13" customWidth="1" min="14" max="14"/>
    <col width="12" customWidth="1" min="15" max="15"/>
    <col width="13" customWidth="1" min="16" max="16"/>
    <col width="10" customWidth="1" min="17" max="17"/>
    <col width="10" customWidth="1" min="18" max="18"/>
    <col width="10" customWidth="1" min="19" max="19"/>
    <col width="15" customWidth="1" min="20" max="20"/>
    <col width="15" customWidth="1" min="21" max="21"/>
  </cols>
  <sheetData>
    <row r="1">
      <c r="A1" s="1" t="inlineStr">
        <is>
          <t>상품 판매가 산출 — 수입품 · 국내구매품 유통</t>
        </is>
      </c>
    </row>
    <row r="2">
      <c r="A2" s="18">
        <f>"매입원가 → 판관비 "&amp;TEXT(설정!$B$23,"0.0%")&amp;" → BEP 가격 → 영업이익 "&amp;TEXT(설정!$B$24,"0.0%")&amp;" → 기준 유통가 → (영업) 최종 유통가   ·   "&amp;설정!$B$25&amp;" 방식   ·   부대비용 수입 "&amp;TEXT(설정!$B$16,"0.0%")&amp;" / 국내 "&amp;TEXT(설정!$B$22,"0.0%")&amp;"   ·   반올림 "&amp;설정!$B$35&amp;" / "&amp;설정!$B$36</f>
        <v/>
      </c>
    </row>
    <row r="4" ht="34" customHeight="1">
      <c r="A4" s="24" t="inlineStr">
        <is>
          <t>상품</t>
        </is>
      </c>
      <c r="B4" s="24" t="inlineStr">
        <is>
          <t>구분</t>
        </is>
      </c>
      <c r="C4" s="24" t="inlineStr">
        <is>
          <t>통화</t>
        </is>
      </c>
      <c r="D4" s="24" t="inlineStr">
        <is>
          <t>외화 단가</t>
        </is>
      </c>
      <c r="E4" s="24" t="inlineStr">
        <is>
          <t>원화 매입단가</t>
        </is>
      </c>
      <c r="F4" s="24" t="inlineStr">
        <is>
          <t>수량</t>
        </is>
      </c>
      <c r="G4" s="24" t="inlineStr">
        <is>
          <t>원화 환산</t>
        </is>
      </c>
      <c r="H4" s="24" t="inlineStr">
        <is>
          <t>매입원가 /개</t>
        </is>
      </c>
      <c r="I4" s="24" t="inlineStr">
        <is>
          <t>판관비율</t>
        </is>
      </c>
      <c r="J4" s="24" t="inlineStr">
        <is>
          <t>영업이익률</t>
        </is>
      </c>
      <c r="K4" s="24" t="inlineStr">
        <is>
          <t>BEP 가격</t>
        </is>
      </c>
      <c r="L4" s="24" t="inlineStr">
        <is>
          <t>기준 유통가</t>
        </is>
      </c>
      <c r="M4" s="24" t="inlineStr">
        <is>
          <t>최종 유통가
(영업 입력)</t>
        </is>
      </c>
      <c r="N4" s="24" t="inlineStr">
        <is>
          <t>적용가</t>
        </is>
      </c>
      <c r="O4" s="24" t="inlineStr">
        <is>
          <t>판관비 /개</t>
        </is>
      </c>
      <c r="P4" s="24" t="inlineStr">
        <is>
          <t>영업이익 /개</t>
        </is>
      </c>
      <c r="Q4" s="24" t="inlineStr">
        <is>
          <t>영업이익률
(실제)</t>
        </is>
      </c>
      <c r="R4" s="24" t="inlineStr">
        <is>
          <t>기준가 대비</t>
        </is>
      </c>
      <c r="S4" s="24" t="inlineStr">
        <is>
          <t>BEP 대비</t>
        </is>
      </c>
      <c r="T4" s="24" t="inlineStr">
        <is>
          <t>매출 합계</t>
        </is>
      </c>
      <c r="U4" s="24" t="inlineStr">
        <is>
          <t>영업이익 합계</t>
        </is>
      </c>
    </row>
    <row r="5">
      <c r="A5" s="25" t="inlineStr">
        <is>
          <t>전자식 유량계 DN50</t>
        </is>
      </c>
      <c r="B5" s="26" t="inlineStr">
        <is>
          <t>수입</t>
        </is>
      </c>
      <c r="C5" s="26" t="inlineStr">
        <is>
          <t>USD</t>
        </is>
      </c>
      <c r="D5" s="23" t="n">
        <v>420</v>
      </c>
      <c r="E5" s="37" t="n"/>
      <c r="F5" s="27" t="n">
        <v>12</v>
      </c>
      <c r="G5" s="28">
        <f>IF($B5="","",IF($B5="수입",IF(N($D5)=0,"",IF(설정!$B$35="원 단위",ROUND($D5*IF($C5="USD",설정!$B$10,IF($C5="CNY",설정!$B$11,1)),0),$D5*IF($C5="USD",설정!$B$10,IF($C5="CNY",설정!$B$11,1)))),IF(N($E5)=0,"",$E5)))</f>
        <v/>
      </c>
      <c r="H5" s="29">
        <f>IF($G5="","",IF(설정!$B$36="원 단위",ROUND($G5*(1+IF($B5="수입",설정!$B$16,설정!$B$22)),0),$G5*(1+IF($B5="수입",설정!$B$16,설정!$B$22))))</f>
        <v/>
      </c>
      <c r="I5" s="30" t="n"/>
      <c r="J5" s="30" t="n"/>
      <c r="K5" s="29">
        <f>IF($H5="","",IFERROR(IF(설정!$B$25="원가 가산",$H5*(1+IF($I5="",설정!$B$23,$I5)),$H5/(1-IF($I5="",설정!$B$23,$I5))),0))</f>
        <v/>
      </c>
      <c r="L5" s="29">
        <f>IF($H5="","",IFERROR(IF(설정!$B$26&lt;=1,ROUND(IF(설정!$B$25="원가 가산",$K5*(1+IF($J5="",설정!$B$24,$J5)),$H5/(1-IF($I5="",설정!$B$23,$I5)-IF($J5="",설정!$B$24,$J5))),0),CEILING(IF(설정!$B$25="원가 가산",$K5*(1+IF($J5="",설정!$B$24,$J5)),$H5/(1-IF($I5="",설정!$B$23,$I5)-IF($J5="",설정!$B$24,$J5))),설정!$B$26)),0))</f>
        <v/>
      </c>
      <c r="M5" s="38" t="n"/>
      <c r="N5" s="29">
        <f>IF($L5="","",IF($M5="",$L5,$M5))</f>
        <v/>
      </c>
      <c r="O5" s="29">
        <f>IF($N5="","",IF(설정!$B$25="원가 가산",$H5*IF($I5="",설정!$B$23,$I5),$N5*IF($I5="",설정!$B$23,$I5)))</f>
        <v/>
      </c>
      <c r="P5" s="29">
        <f>IF($N5="","",$N5-$H5-$O5)</f>
        <v/>
      </c>
      <c r="Q5" s="31">
        <f>IF(N($N5)=0,"",$P5/$N5)</f>
        <v/>
      </c>
      <c r="R5" s="31">
        <f>IF(N($L5)=0,"",$N5/$L5-1)</f>
        <v/>
      </c>
      <c r="S5" s="31">
        <f>IF(N($K5)=0,"",$N5/$K5-1)</f>
        <v/>
      </c>
      <c r="T5" s="29">
        <f>IF($N5="","",$N5*$F5)</f>
        <v/>
      </c>
      <c r="U5" s="29">
        <f>IF($P5="","",$P5*$F5)</f>
        <v/>
      </c>
    </row>
    <row r="6">
      <c r="A6" s="25" t="inlineStr">
        <is>
          <t>스테인리스 볼밸브 2"</t>
        </is>
      </c>
      <c r="B6" s="26" t="inlineStr">
        <is>
          <t>수입</t>
        </is>
      </c>
      <c r="C6" s="26" t="inlineStr">
        <is>
          <t>CNY</t>
        </is>
      </c>
      <c r="D6" s="23" t="n">
        <v>268</v>
      </c>
      <c r="E6" s="37" t="n"/>
      <c r="F6" s="27" t="n">
        <v>40</v>
      </c>
      <c r="G6" s="28">
        <f>IF($B6="","",IF($B6="수입",IF(N($D6)=0,"",IF(설정!$B$35="원 단위",ROUND($D6*IF($C6="USD",설정!$B$10,IF($C6="CNY",설정!$B$11,1)),0),$D6*IF($C6="USD",설정!$B$10,IF($C6="CNY",설정!$B$11,1)))),IF(N($E6)=0,"",$E6)))</f>
        <v/>
      </c>
      <c r="H6" s="29">
        <f>IF($G6="","",IF(설정!$B$36="원 단위",ROUND($G6*(1+IF($B6="수입",설정!$B$16,설정!$B$22)),0),$G6*(1+IF($B6="수입",설정!$B$16,설정!$B$22))))</f>
        <v/>
      </c>
      <c r="I6" s="30" t="n"/>
      <c r="J6" s="30" t="n"/>
      <c r="K6" s="29">
        <f>IF($H6="","",IFERROR(IF(설정!$B$25="원가 가산",$H6*(1+IF($I6="",설정!$B$23,$I6)),$H6/(1-IF($I6="",설정!$B$23,$I6))),0))</f>
        <v/>
      </c>
      <c r="L6" s="29">
        <f>IF($H6="","",IFERROR(IF(설정!$B$26&lt;=1,ROUND(IF(설정!$B$25="원가 가산",$K6*(1+IF($J6="",설정!$B$24,$J6)),$H6/(1-IF($I6="",설정!$B$23,$I6)-IF($J6="",설정!$B$24,$J6))),0),CEILING(IF(설정!$B$25="원가 가산",$K6*(1+IF($J6="",설정!$B$24,$J6)),$H6/(1-IF($I6="",설정!$B$23,$I6)-IF($J6="",설정!$B$24,$J6))),설정!$B$26)),0))</f>
        <v/>
      </c>
      <c r="M6" s="38" t="n">
        <v>72000</v>
      </c>
      <c r="N6" s="29">
        <f>IF($L6="","",IF($M6="",$L6,$M6))</f>
        <v/>
      </c>
      <c r="O6" s="29">
        <f>IF($N6="","",IF(설정!$B$25="원가 가산",$H6*IF($I6="",설정!$B$23,$I6),$N6*IF($I6="",설정!$B$23,$I6)))</f>
        <v/>
      </c>
      <c r="P6" s="29">
        <f>IF($N6="","",$N6-$H6-$O6)</f>
        <v/>
      </c>
      <c r="Q6" s="31">
        <f>IF(N($N6)=0,"",$P6/$N6)</f>
        <v/>
      </c>
      <c r="R6" s="31">
        <f>IF(N($L6)=0,"",$N6/$L6-1)</f>
        <v/>
      </c>
      <c r="S6" s="31">
        <f>IF(N($K6)=0,"",$N6/$K6-1)</f>
        <v/>
      </c>
      <c r="T6" s="29">
        <f>IF($N6="","",$N6*$F6)</f>
        <v/>
      </c>
      <c r="U6" s="29">
        <f>IF($P6="","",$P6*$F6)</f>
        <v/>
      </c>
    </row>
    <row r="7">
      <c r="A7" s="25" t="inlineStr">
        <is>
          <t>압력계 100A 0~10bar</t>
        </is>
      </c>
      <c r="B7" s="26" t="inlineStr">
        <is>
          <t>수입</t>
        </is>
      </c>
      <c r="C7" s="26" t="inlineStr">
        <is>
          <t>CNY</t>
        </is>
      </c>
      <c r="D7" s="23" t="n">
        <v>41.5</v>
      </c>
      <c r="E7" s="37" t="n"/>
      <c r="F7" s="27" t="n">
        <v>150</v>
      </c>
      <c r="G7" s="28">
        <f>IF($B7="","",IF($B7="수입",IF(N($D7)=0,"",IF(설정!$B$35="원 단위",ROUND($D7*IF($C7="USD",설정!$B$10,IF($C7="CNY",설정!$B$11,1)),0),$D7*IF($C7="USD",설정!$B$10,IF($C7="CNY",설정!$B$11,1)))),IF(N($E7)=0,"",$E7)))</f>
        <v/>
      </c>
      <c r="H7" s="29">
        <f>IF($G7="","",IF(설정!$B$36="원 단위",ROUND($G7*(1+IF($B7="수입",설정!$B$16,설정!$B$22)),0),$G7*(1+IF($B7="수입",설정!$B$16,설정!$B$22))))</f>
        <v/>
      </c>
      <c r="I7" s="30" t="n"/>
      <c r="J7" s="30" t="n"/>
      <c r="K7" s="29">
        <f>IF($H7="","",IFERROR(IF(설정!$B$25="원가 가산",$H7*(1+IF($I7="",설정!$B$23,$I7)),$H7/(1-IF($I7="",설정!$B$23,$I7))),0))</f>
        <v/>
      </c>
      <c r="L7" s="29">
        <f>IF($H7="","",IFERROR(IF(설정!$B$26&lt;=1,ROUND(IF(설정!$B$25="원가 가산",$K7*(1+IF($J7="",설정!$B$24,$J7)),$H7/(1-IF($I7="",설정!$B$23,$I7)-IF($J7="",설정!$B$24,$J7))),0),CEILING(IF(설정!$B$25="원가 가산",$K7*(1+IF($J7="",설정!$B$24,$J7)),$H7/(1-IF($I7="",설정!$B$23,$I7)-IF($J7="",설정!$B$24,$J7))),설정!$B$26)),0))</f>
        <v/>
      </c>
      <c r="M7" s="38" t="n"/>
      <c r="N7" s="29">
        <f>IF($L7="","",IF($M7="",$L7,$M7))</f>
        <v/>
      </c>
      <c r="O7" s="29">
        <f>IF($N7="","",IF(설정!$B$25="원가 가산",$H7*IF($I7="",설정!$B$23,$I7),$N7*IF($I7="",설정!$B$23,$I7)))</f>
        <v/>
      </c>
      <c r="P7" s="29">
        <f>IF($N7="","",$N7-$H7-$O7)</f>
        <v/>
      </c>
      <c r="Q7" s="31">
        <f>IF(N($N7)=0,"",$P7/$N7)</f>
        <v/>
      </c>
      <c r="R7" s="31">
        <f>IF(N($L7)=0,"",$N7/$L7-1)</f>
        <v/>
      </c>
      <c r="S7" s="31">
        <f>IF(N($K7)=0,"",$N7/$K7-1)</f>
        <v/>
      </c>
      <c r="T7" s="29">
        <f>IF($N7="","",$N7*$F7)</f>
        <v/>
      </c>
      <c r="U7" s="29">
        <f>IF($P7="","",$P7*$F7)</f>
        <v/>
      </c>
    </row>
    <row r="8">
      <c r="A8" s="25" t="inlineStr">
        <is>
          <t>솔레노이드 밸브 1/2"</t>
        </is>
      </c>
      <c r="B8" s="26" t="inlineStr">
        <is>
          <t>국내</t>
        </is>
      </c>
      <c r="C8" s="26" t="n"/>
      <c r="D8" s="23" t="n"/>
      <c r="E8" s="37" t="n">
        <v>38500</v>
      </c>
      <c r="F8" s="27" t="n">
        <v>60</v>
      </c>
      <c r="G8" s="28">
        <f>IF($B8="","",IF($B8="수입",IF(N($D8)=0,"",IF(설정!$B$35="원 단위",ROUND($D8*IF($C8="USD",설정!$B$10,IF($C8="CNY",설정!$B$11,1)),0),$D8*IF($C8="USD",설정!$B$10,IF($C8="CNY",설정!$B$11,1)))),IF(N($E8)=0,"",$E8)))</f>
        <v/>
      </c>
      <c r="H8" s="29">
        <f>IF($G8="","",IF(설정!$B$36="원 단위",ROUND($G8*(1+IF($B8="수입",설정!$B$16,설정!$B$22)),0),$G8*(1+IF($B8="수입",설정!$B$16,설정!$B$22))))</f>
        <v/>
      </c>
      <c r="I8" s="30" t="n"/>
      <c r="J8" s="30" t="n">
        <v>0.12</v>
      </c>
      <c r="K8" s="29">
        <f>IF($H8="","",IFERROR(IF(설정!$B$25="원가 가산",$H8*(1+IF($I8="",설정!$B$23,$I8)),$H8/(1-IF($I8="",설정!$B$23,$I8))),0))</f>
        <v/>
      </c>
      <c r="L8" s="29">
        <f>IF($H8="","",IFERROR(IF(설정!$B$26&lt;=1,ROUND(IF(설정!$B$25="원가 가산",$K8*(1+IF($J8="",설정!$B$24,$J8)),$H8/(1-IF($I8="",설정!$B$23,$I8)-IF($J8="",설정!$B$24,$J8))),0),CEILING(IF(설정!$B$25="원가 가산",$K8*(1+IF($J8="",설정!$B$24,$J8)),$H8/(1-IF($I8="",설정!$B$23,$I8)-IF($J8="",설정!$B$24,$J8))),설정!$B$26)),0))</f>
        <v/>
      </c>
      <c r="M8" s="38" t="n"/>
      <c r="N8" s="29">
        <f>IF($L8="","",IF($M8="",$L8,$M8))</f>
        <v/>
      </c>
      <c r="O8" s="29">
        <f>IF($N8="","",IF(설정!$B$25="원가 가산",$H8*IF($I8="",설정!$B$23,$I8),$N8*IF($I8="",설정!$B$23,$I8)))</f>
        <v/>
      </c>
      <c r="P8" s="29">
        <f>IF($N8="","",$N8-$H8-$O8)</f>
        <v/>
      </c>
      <c r="Q8" s="31">
        <f>IF(N($N8)=0,"",$P8/$N8)</f>
        <v/>
      </c>
      <c r="R8" s="31">
        <f>IF(N($L8)=0,"",$N8/$L8-1)</f>
        <v/>
      </c>
      <c r="S8" s="31">
        <f>IF(N($K8)=0,"",$N8/$K8-1)</f>
        <v/>
      </c>
      <c r="T8" s="29">
        <f>IF($N8="","",$N8*$F8)</f>
        <v/>
      </c>
      <c r="U8" s="29">
        <f>IF($P8="","",$P8*$F8)</f>
        <v/>
      </c>
    </row>
    <row r="9">
      <c r="A9" s="25" t="inlineStr">
        <is>
          <t>호스릴 어셈블리 20m</t>
        </is>
      </c>
      <c r="B9" s="26" t="inlineStr">
        <is>
          <t>국내</t>
        </is>
      </c>
      <c r="C9" s="26" t="n"/>
      <c r="D9" s="23" t="n"/>
      <c r="E9" s="37" t="n">
        <v>112000</v>
      </c>
      <c r="F9" s="27" t="n">
        <v>15</v>
      </c>
      <c r="G9" s="28">
        <f>IF($B9="","",IF($B9="수입",IF(N($D9)=0,"",IF(설정!$B$35="원 단위",ROUND($D9*IF($C9="USD",설정!$B$10,IF($C9="CNY",설정!$B$11,1)),0),$D9*IF($C9="USD",설정!$B$10,IF($C9="CNY",설정!$B$11,1)))),IF(N($E9)=0,"",$E9)))</f>
        <v/>
      </c>
      <c r="H9" s="29">
        <f>IF($G9="","",IF(설정!$B$36="원 단위",ROUND($G9*(1+IF($B9="수입",설정!$B$16,설정!$B$22)),0),$G9*(1+IF($B9="수입",설정!$B$16,설정!$B$22))))</f>
        <v/>
      </c>
      <c r="I9" s="30" t="n">
        <v>0.22</v>
      </c>
      <c r="J9" s="30" t="n"/>
      <c r="K9" s="29">
        <f>IF($H9="","",IFERROR(IF(설정!$B$25="원가 가산",$H9*(1+IF($I9="",설정!$B$23,$I9)),$H9/(1-IF($I9="",설정!$B$23,$I9))),0))</f>
        <v/>
      </c>
      <c r="L9" s="29">
        <f>IF($H9="","",IFERROR(IF(설정!$B$26&lt;=1,ROUND(IF(설정!$B$25="원가 가산",$K9*(1+IF($J9="",설정!$B$24,$J9)),$H9/(1-IF($I9="",설정!$B$23,$I9)-IF($J9="",설정!$B$24,$J9))),0),CEILING(IF(설정!$B$25="원가 가산",$K9*(1+IF($J9="",설정!$B$24,$J9)),$H9/(1-IF($I9="",설정!$B$23,$I9)-IF($J9="",설정!$B$24,$J9))),설정!$B$26)),0))</f>
        <v/>
      </c>
      <c r="M9" s="38" t="n">
        <v>210000</v>
      </c>
      <c r="N9" s="29">
        <f>IF($L9="","",IF($M9="",$L9,$M9))</f>
        <v/>
      </c>
      <c r="O9" s="29">
        <f>IF($N9="","",IF(설정!$B$25="원가 가산",$H9*IF($I9="",설정!$B$23,$I9),$N9*IF($I9="",설정!$B$23,$I9)))</f>
        <v/>
      </c>
      <c r="P9" s="29">
        <f>IF($N9="","",$N9-$H9-$O9)</f>
        <v/>
      </c>
      <c r="Q9" s="31">
        <f>IF(N($N9)=0,"",$P9/$N9)</f>
        <v/>
      </c>
      <c r="R9" s="31">
        <f>IF(N($L9)=0,"",$N9/$L9-1)</f>
        <v/>
      </c>
      <c r="S9" s="31">
        <f>IF(N($K9)=0,"",$N9/$K9-1)</f>
        <v/>
      </c>
      <c r="T9" s="29">
        <f>IF($N9="","",$N9*$F9)</f>
        <v/>
      </c>
      <c r="U9" s="29">
        <f>IF($P9="","",$P9*$F9)</f>
        <v/>
      </c>
    </row>
    <row r="10">
      <c r="A10" s="25" t="inlineStr">
        <is>
          <t>차압 트랜스미터</t>
        </is>
      </c>
      <c r="B10" s="26" t="inlineStr">
        <is>
          <t>수입</t>
        </is>
      </c>
      <c r="C10" s="26" t="inlineStr">
        <is>
          <t>USD</t>
        </is>
      </c>
      <c r="D10" s="23" t="n">
        <v>385</v>
      </c>
      <c r="E10" s="37" t="n"/>
      <c r="F10" s="27" t="n">
        <v>8</v>
      </c>
      <c r="G10" s="28">
        <f>IF($B10="","",IF($B10="수입",IF(N($D10)=0,"",IF(설정!$B$35="원 단위",ROUND($D10*IF($C10="USD",설정!$B$10,IF($C10="CNY",설정!$B$11,1)),0),$D10*IF($C10="USD",설정!$B$10,IF($C10="CNY",설정!$B$11,1)))),IF(N($E10)=0,"",$E10)))</f>
        <v/>
      </c>
      <c r="H10" s="29">
        <f>IF($G10="","",IF(설정!$B$36="원 단위",ROUND($G10*(1+IF($B10="수입",설정!$B$16,설정!$B$22)),0),$G10*(1+IF($B10="수입",설정!$B$16,설정!$B$22))))</f>
        <v/>
      </c>
      <c r="I10" s="30" t="n"/>
      <c r="J10" s="30" t="n">
        <v>0.15</v>
      </c>
      <c r="K10" s="29">
        <f>IF($H10="","",IFERROR(IF(설정!$B$25="원가 가산",$H10*(1+IF($I10="",설정!$B$23,$I10)),$H10/(1-IF($I10="",설정!$B$23,$I10))),0))</f>
        <v/>
      </c>
      <c r="L10" s="29">
        <f>IF($H10="","",IFERROR(IF(설정!$B$26&lt;=1,ROUND(IF(설정!$B$25="원가 가산",$K10*(1+IF($J10="",설정!$B$24,$J10)),$H10/(1-IF($I10="",설정!$B$23,$I10)-IF($J10="",설정!$B$24,$J10))),0),CEILING(IF(설정!$B$25="원가 가산",$K10*(1+IF($J10="",설정!$B$24,$J10)),$H10/(1-IF($I10="",설정!$B$23,$I10)-IF($J10="",설정!$B$24,$J10))),설정!$B$26)),0))</f>
        <v/>
      </c>
      <c r="M10" s="38" t="n"/>
      <c r="N10" s="29">
        <f>IF($L10="","",IF($M10="",$L10,$M10))</f>
        <v/>
      </c>
      <c r="O10" s="29">
        <f>IF($N10="","",IF(설정!$B$25="원가 가산",$H10*IF($I10="",설정!$B$23,$I10),$N10*IF($I10="",설정!$B$23,$I10)))</f>
        <v/>
      </c>
      <c r="P10" s="29">
        <f>IF($N10="","",$N10-$H10-$O10)</f>
        <v/>
      </c>
      <c r="Q10" s="31">
        <f>IF(N($N10)=0,"",$P10/$N10)</f>
        <v/>
      </c>
      <c r="R10" s="31">
        <f>IF(N($L10)=0,"",$N10/$L10-1)</f>
        <v/>
      </c>
      <c r="S10" s="31">
        <f>IF(N($K10)=0,"",$N10/$K10-1)</f>
        <v/>
      </c>
      <c r="T10" s="29">
        <f>IF($N10="","",$N10*$F10)</f>
        <v/>
      </c>
      <c r="U10" s="29">
        <f>IF($P10="","",$P10*$F10)</f>
        <v/>
      </c>
    </row>
    <row r="11">
      <c r="A11" s="25" t="n"/>
      <c r="B11" s="26" t="n"/>
      <c r="C11" s="26" t="n"/>
      <c r="D11" s="23" t="n"/>
      <c r="E11" s="37" t="n"/>
      <c r="F11" s="27" t="n"/>
      <c r="G11" s="28">
        <f>IF($B11="","",IF($B11="수입",IF(N($D11)=0,"",IF(설정!$B$35="원 단위",ROUND($D11*IF($C11="USD",설정!$B$10,IF($C11="CNY",설정!$B$11,1)),0),$D11*IF($C11="USD",설정!$B$10,IF($C11="CNY",설정!$B$11,1)))),IF(N($E11)=0,"",$E11)))</f>
        <v/>
      </c>
      <c r="H11" s="29">
        <f>IF($G11="","",IF(설정!$B$36="원 단위",ROUND($G11*(1+IF($B11="수입",설정!$B$16,설정!$B$22)),0),$G11*(1+IF($B11="수입",설정!$B$16,설정!$B$22))))</f>
        <v/>
      </c>
      <c r="I11" s="30" t="n"/>
      <c r="J11" s="30" t="n"/>
      <c r="K11" s="29">
        <f>IF($H11="","",IFERROR(IF(설정!$B$25="원가 가산",$H11*(1+IF($I11="",설정!$B$23,$I11)),$H11/(1-IF($I11="",설정!$B$23,$I11))),0))</f>
        <v/>
      </c>
      <c r="L11" s="29">
        <f>IF($H11="","",IFERROR(IF(설정!$B$26&lt;=1,ROUND(IF(설정!$B$25="원가 가산",$K11*(1+IF($J11="",설정!$B$24,$J11)),$H11/(1-IF($I11="",설정!$B$23,$I11)-IF($J11="",설정!$B$24,$J11))),0),CEILING(IF(설정!$B$25="원가 가산",$K11*(1+IF($J11="",설정!$B$24,$J11)),$H11/(1-IF($I11="",설정!$B$23,$I11)-IF($J11="",설정!$B$24,$J11))),설정!$B$26)),0))</f>
        <v/>
      </c>
      <c r="M11" s="38" t="n"/>
      <c r="N11" s="29">
        <f>IF($L11="","",IF($M11="",$L11,$M11))</f>
        <v/>
      </c>
      <c r="O11" s="29">
        <f>IF($N11="","",IF(설정!$B$25="원가 가산",$H11*IF($I11="",설정!$B$23,$I11),$N11*IF($I11="",설정!$B$23,$I11)))</f>
        <v/>
      </c>
      <c r="P11" s="29">
        <f>IF($N11="","",$N11-$H11-$O11)</f>
        <v/>
      </c>
      <c r="Q11" s="31">
        <f>IF(N($N11)=0,"",$P11/$N11)</f>
        <v/>
      </c>
      <c r="R11" s="31">
        <f>IF(N($L11)=0,"",$N11/$L11-1)</f>
        <v/>
      </c>
      <c r="S11" s="31">
        <f>IF(N($K11)=0,"",$N11/$K11-1)</f>
        <v/>
      </c>
      <c r="T11" s="29">
        <f>IF($N11="","",$N11*$F11)</f>
        <v/>
      </c>
      <c r="U11" s="29">
        <f>IF($P11="","",$P11*$F11)</f>
        <v/>
      </c>
    </row>
    <row r="12">
      <c r="A12" s="25" t="n"/>
      <c r="B12" s="26" t="n"/>
      <c r="C12" s="26" t="n"/>
      <c r="D12" s="23" t="n"/>
      <c r="E12" s="37" t="n"/>
      <c r="F12" s="27" t="n"/>
      <c r="G12" s="28">
        <f>IF($B12="","",IF($B12="수입",IF(N($D12)=0,"",IF(설정!$B$35="원 단위",ROUND($D12*IF($C12="USD",설정!$B$10,IF($C12="CNY",설정!$B$11,1)),0),$D12*IF($C12="USD",설정!$B$10,IF($C12="CNY",설정!$B$11,1)))),IF(N($E12)=0,"",$E12)))</f>
        <v/>
      </c>
      <c r="H12" s="29">
        <f>IF($G12="","",IF(설정!$B$36="원 단위",ROUND($G12*(1+IF($B12="수입",설정!$B$16,설정!$B$22)),0),$G12*(1+IF($B12="수입",설정!$B$16,설정!$B$22))))</f>
        <v/>
      </c>
      <c r="I12" s="30" t="n"/>
      <c r="J12" s="30" t="n"/>
      <c r="K12" s="29">
        <f>IF($H12="","",IFERROR(IF(설정!$B$25="원가 가산",$H12*(1+IF($I12="",설정!$B$23,$I12)),$H12/(1-IF($I12="",설정!$B$23,$I12))),0))</f>
        <v/>
      </c>
      <c r="L12" s="29">
        <f>IF($H12="","",IFERROR(IF(설정!$B$26&lt;=1,ROUND(IF(설정!$B$25="원가 가산",$K12*(1+IF($J12="",설정!$B$24,$J12)),$H12/(1-IF($I12="",설정!$B$23,$I12)-IF($J12="",설정!$B$24,$J12))),0),CEILING(IF(설정!$B$25="원가 가산",$K12*(1+IF($J12="",설정!$B$24,$J12)),$H12/(1-IF($I12="",설정!$B$23,$I12)-IF($J12="",설정!$B$24,$J12))),설정!$B$26)),0))</f>
        <v/>
      </c>
      <c r="M12" s="38" t="n"/>
      <c r="N12" s="29">
        <f>IF($L12="","",IF($M12="",$L12,$M12))</f>
        <v/>
      </c>
      <c r="O12" s="29">
        <f>IF($N12="","",IF(설정!$B$25="원가 가산",$H12*IF($I12="",설정!$B$23,$I12),$N12*IF($I12="",설정!$B$23,$I12)))</f>
        <v/>
      </c>
      <c r="P12" s="29">
        <f>IF($N12="","",$N12-$H12-$O12)</f>
        <v/>
      </c>
      <c r="Q12" s="31">
        <f>IF(N($N12)=0,"",$P12/$N12)</f>
        <v/>
      </c>
      <c r="R12" s="31">
        <f>IF(N($L12)=0,"",$N12/$L12-1)</f>
        <v/>
      </c>
      <c r="S12" s="31">
        <f>IF(N($K12)=0,"",$N12/$K12-1)</f>
        <v/>
      </c>
      <c r="T12" s="29">
        <f>IF($N12="","",$N12*$F12)</f>
        <v/>
      </c>
      <c r="U12" s="29">
        <f>IF($P12="","",$P12*$F12)</f>
        <v/>
      </c>
    </row>
    <row r="13">
      <c r="A13" s="25" t="n"/>
      <c r="B13" s="26" t="n"/>
      <c r="C13" s="26" t="n"/>
      <c r="D13" s="23" t="n"/>
      <c r="E13" s="37" t="n"/>
      <c r="F13" s="27" t="n"/>
      <c r="G13" s="28">
        <f>IF($B13="","",IF($B13="수입",IF(N($D13)=0,"",IF(설정!$B$35="원 단위",ROUND($D13*IF($C13="USD",설정!$B$10,IF($C13="CNY",설정!$B$11,1)),0),$D13*IF($C13="USD",설정!$B$10,IF($C13="CNY",설정!$B$11,1)))),IF(N($E13)=0,"",$E13)))</f>
        <v/>
      </c>
      <c r="H13" s="29">
        <f>IF($G13="","",IF(설정!$B$36="원 단위",ROUND($G13*(1+IF($B13="수입",설정!$B$16,설정!$B$22)),0),$G13*(1+IF($B13="수입",설정!$B$16,설정!$B$22))))</f>
        <v/>
      </c>
      <c r="I13" s="30" t="n"/>
      <c r="J13" s="30" t="n"/>
      <c r="K13" s="29">
        <f>IF($H13="","",IFERROR(IF(설정!$B$25="원가 가산",$H13*(1+IF($I13="",설정!$B$23,$I13)),$H13/(1-IF($I13="",설정!$B$23,$I13))),0))</f>
        <v/>
      </c>
      <c r="L13" s="29">
        <f>IF($H13="","",IFERROR(IF(설정!$B$26&lt;=1,ROUND(IF(설정!$B$25="원가 가산",$K13*(1+IF($J13="",설정!$B$24,$J13)),$H13/(1-IF($I13="",설정!$B$23,$I13)-IF($J13="",설정!$B$24,$J13))),0),CEILING(IF(설정!$B$25="원가 가산",$K13*(1+IF($J13="",설정!$B$24,$J13)),$H13/(1-IF($I13="",설정!$B$23,$I13)-IF($J13="",설정!$B$24,$J13))),설정!$B$26)),0))</f>
        <v/>
      </c>
      <c r="M13" s="38" t="n"/>
      <c r="N13" s="29">
        <f>IF($L13="","",IF($M13="",$L13,$M13))</f>
        <v/>
      </c>
      <c r="O13" s="29">
        <f>IF($N13="","",IF(설정!$B$25="원가 가산",$H13*IF($I13="",설정!$B$23,$I13),$N13*IF($I13="",설정!$B$23,$I13)))</f>
        <v/>
      </c>
      <c r="P13" s="29">
        <f>IF($N13="","",$N13-$H13-$O13)</f>
        <v/>
      </c>
      <c r="Q13" s="31">
        <f>IF(N($N13)=0,"",$P13/$N13)</f>
        <v/>
      </c>
      <c r="R13" s="31">
        <f>IF(N($L13)=0,"",$N13/$L13-1)</f>
        <v/>
      </c>
      <c r="S13" s="31">
        <f>IF(N($K13)=0,"",$N13/$K13-1)</f>
        <v/>
      </c>
      <c r="T13" s="29">
        <f>IF($N13="","",$N13*$F13)</f>
        <v/>
      </c>
      <c r="U13" s="29">
        <f>IF($P13="","",$P13*$F13)</f>
        <v/>
      </c>
    </row>
    <row r="14">
      <c r="A14" s="25" t="n"/>
      <c r="B14" s="26" t="n"/>
      <c r="C14" s="26" t="n"/>
      <c r="D14" s="23" t="n"/>
      <c r="E14" s="37" t="n"/>
      <c r="F14" s="27" t="n"/>
      <c r="G14" s="28">
        <f>IF($B14="","",IF($B14="수입",IF(N($D14)=0,"",IF(설정!$B$35="원 단위",ROUND($D14*IF($C14="USD",설정!$B$10,IF($C14="CNY",설정!$B$11,1)),0),$D14*IF($C14="USD",설정!$B$10,IF($C14="CNY",설정!$B$11,1)))),IF(N($E14)=0,"",$E14)))</f>
        <v/>
      </c>
      <c r="H14" s="29">
        <f>IF($G14="","",IF(설정!$B$36="원 단위",ROUND($G14*(1+IF($B14="수입",설정!$B$16,설정!$B$22)),0),$G14*(1+IF($B14="수입",설정!$B$16,설정!$B$22))))</f>
        <v/>
      </c>
      <c r="I14" s="30" t="n"/>
      <c r="J14" s="30" t="n"/>
      <c r="K14" s="29">
        <f>IF($H14="","",IFERROR(IF(설정!$B$25="원가 가산",$H14*(1+IF($I14="",설정!$B$23,$I14)),$H14/(1-IF($I14="",설정!$B$23,$I14))),0))</f>
        <v/>
      </c>
      <c r="L14" s="29">
        <f>IF($H14="","",IFERROR(IF(설정!$B$26&lt;=1,ROUND(IF(설정!$B$25="원가 가산",$K14*(1+IF($J14="",설정!$B$24,$J14)),$H14/(1-IF($I14="",설정!$B$23,$I14)-IF($J14="",설정!$B$24,$J14))),0),CEILING(IF(설정!$B$25="원가 가산",$K14*(1+IF($J14="",설정!$B$24,$J14)),$H14/(1-IF($I14="",설정!$B$23,$I14)-IF($J14="",설정!$B$24,$J14))),설정!$B$26)),0))</f>
        <v/>
      </c>
      <c r="M14" s="38" t="n"/>
      <c r="N14" s="29">
        <f>IF($L14="","",IF($M14="",$L14,$M14))</f>
        <v/>
      </c>
      <c r="O14" s="29">
        <f>IF($N14="","",IF(설정!$B$25="원가 가산",$H14*IF($I14="",설정!$B$23,$I14),$N14*IF($I14="",설정!$B$23,$I14)))</f>
        <v/>
      </c>
      <c r="P14" s="29">
        <f>IF($N14="","",$N14-$H14-$O14)</f>
        <v/>
      </c>
      <c r="Q14" s="31">
        <f>IF(N($N14)=0,"",$P14/$N14)</f>
        <v/>
      </c>
      <c r="R14" s="31">
        <f>IF(N($L14)=0,"",$N14/$L14-1)</f>
        <v/>
      </c>
      <c r="S14" s="31">
        <f>IF(N($K14)=0,"",$N14/$K14-1)</f>
        <v/>
      </c>
      <c r="T14" s="29">
        <f>IF($N14="","",$N14*$F14)</f>
        <v/>
      </c>
      <c r="U14" s="29">
        <f>IF($P14="","",$P14*$F14)</f>
        <v/>
      </c>
    </row>
    <row r="15">
      <c r="A15" s="25" t="n"/>
      <c r="B15" s="26" t="n"/>
      <c r="C15" s="26" t="n"/>
      <c r="D15" s="23" t="n"/>
      <c r="E15" s="37" t="n"/>
      <c r="F15" s="27" t="n"/>
      <c r="G15" s="28">
        <f>IF($B15="","",IF($B15="수입",IF(N($D15)=0,"",IF(설정!$B$35="원 단위",ROUND($D15*IF($C15="USD",설정!$B$10,IF($C15="CNY",설정!$B$11,1)),0),$D15*IF($C15="USD",설정!$B$10,IF($C15="CNY",설정!$B$11,1)))),IF(N($E15)=0,"",$E15)))</f>
        <v/>
      </c>
      <c r="H15" s="29">
        <f>IF($G15="","",IF(설정!$B$36="원 단위",ROUND($G15*(1+IF($B15="수입",설정!$B$16,설정!$B$22)),0),$G15*(1+IF($B15="수입",설정!$B$16,설정!$B$22))))</f>
        <v/>
      </c>
      <c r="I15" s="30" t="n"/>
      <c r="J15" s="30" t="n"/>
      <c r="K15" s="29">
        <f>IF($H15="","",IFERROR(IF(설정!$B$25="원가 가산",$H15*(1+IF($I15="",설정!$B$23,$I15)),$H15/(1-IF($I15="",설정!$B$23,$I15))),0))</f>
        <v/>
      </c>
      <c r="L15" s="29">
        <f>IF($H15="","",IFERROR(IF(설정!$B$26&lt;=1,ROUND(IF(설정!$B$25="원가 가산",$K15*(1+IF($J15="",설정!$B$24,$J15)),$H15/(1-IF($I15="",설정!$B$23,$I15)-IF($J15="",설정!$B$24,$J15))),0),CEILING(IF(설정!$B$25="원가 가산",$K15*(1+IF($J15="",설정!$B$24,$J15)),$H15/(1-IF($I15="",설정!$B$23,$I15)-IF($J15="",설정!$B$24,$J15))),설정!$B$26)),0))</f>
        <v/>
      </c>
      <c r="M15" s="38" t="n"/>
      <c r="N15" s="29">
        <f>IF($L15="","",IF($M15="",$L15,$M15))</f>
        <v/>
      </c>
      <c r="O15" s="29">
        <f>IF($N15="","",IF(설정!$B$25="원가 가산",$H15*IF($I15="",설정!$B$23,$I15),$N15*IF($I15="",설정!$B$23,$I15)))</f>
        <v/>
      </c>
      <c r="P15" s="29">
        <f>IF($N15="","",$N15-$H15-$O15)</f>
        <v/>
      </c>
      <c r="Q15" s="31">
        <f>IF(N($N15)=0,"",$P15/$N15)</f>
        <v/>
      </c>
      <c r="R15" s="31">
        <f>IF(N($L15)=0,"",$N15/$L15-1)</f>
        <v/>
      </c>
      <c r="S15" s="31">
        <f>IF(N($K15)=0,"",$N15/$K15-1)</f>
        <v/>
      </c>
      <c r="T15" s="29">
        <f>IF($N15="","",$N15*$F15)</f>
        <v/>
      </c>
      <c r="U15" s="29">
        <f>IF($P15="","",$P15*$F15)</f>
        <v/>
      </c>
    </row>
    <row r="16">
      <c r="A16" s="25" t="n"/>
      <c r="B16" s="26" t="n"/>
      <c r="C16" s="26" t="n"/>
      <c r="D16" s="23" t="n"/>
      <c r="E16" s="37" t="n"/>
      <c r="F16" s="27" t="n"/>
      <c r="G16" s="28">
        <f>IF($B16="","",IF($B16="수입",IF(N($D16)=0,"",IF(설정!$B$35="원 단위",ROUND($D16*IF($C16="USD",설정!$B$10,IF($C16="CNY",설정!$B$11,1)),0),$D16*IF($C16="USD",설정!$B$10,IF($C16="CNY",설정!$B$11,1)))),IF(N($E16)=0,"",$E16)))</f>
        <v/>
      </c>
      <c r="H16" s="29">
        <f>IF($G16="","",IF(설정!$B$36="원 단위",ROUND($G16*(1+IF($B16="수입",설정!$B$16,설정!$B$22)),0),$G16*(1+IF($B16="수입",설정!$B$16,설정!$B$22))))</f>
        <v/>
      </c>
      <c r="I16" s="30" t="n"/>
      <c r="J16" s="30" t="n"/>
      <c r="K16" s="29">
        <f>IF($H16="","",IFERROR(IF(설정!$B$25="원가 가산",$H16*(1+IF($I16="",설정!$B$23,$I16)),$H16/(1-IF($I16="",설정!$B$23,$I16))),0))</f>
        <v/>
      </c>
      <c r="L16" s="29">
        <f>IF($H16="","",IFERROR(IF(설정!$B$26&lt;=1,ROUND(IF(설정!$B$25="원가 가산",$K16*(1+IF($J16="",설정!$B$24,$J16)),$H16/(1-IF($I16="",설정!$B$23,$I16)-IF($J16="",설정!$B$24,$J16))),0),CEILING(IF(설정!$B$25="원가 가산",$K16*(1+IF($J16="",설정!$B$24,$J16)),$H16/(1-IF($I16="",설정!$B$23,$I16)-IF($J16="",설정!$B$24,$J16))),설정!$B$26)),0))</f>
        <v/>
      </c>
      <c r="M16" s="38" t="n"/>
      <c r="N16" s="29">
        <f>IF($L16="","",IF($M16="",$L16,$M16))</f>
        <v/>
      </c>
      <c r="O16" s="29">
        <f>IF($N16="","",IF(설정!$B$25="원가 가산",$H16*IF($I16="",설정!$B$23,$I16),$N16*IF($I16="",설정!$B$23,$I16)))</f>
        <v/>
      </c>
      <c r="P16" s="29">
        <f>IF($N16="","",$N16-$H16-$O16)</f>
        <v/>
      </c>
      <c r="Q16" s="31">
        <f>IF(N($N16)=0,"",$P16/$N16)</f>
        <v/>
      </c>
      <c r="R16" s="31">
        <f>IF(N($L16)=0,"",$N16/$L16-1)</f>
        <v/>
      </c>
      <c r="S16" s="31">
        <f>IF(N($K16)=0,"",$N16/$K16-1)</f>
        <v/>
      </c>
      <c r="T16" s="29">
        <f>IF($N16="","",$N16*$F16)</f>
        <v/>
      </c>
      <c r="U16" s="29">
        <f>IF($P16="","",$P16*$F16)</f>
        <v/>
      </c>
    </row>
    <row r="17">
      <c r="A17" s="25" t="n"/>
      <c r="B17" s="26" t="n"/>
      <c r="C17" s="26" t="n"/>
      <c r="D17" s="23" t="n"/>
      <c r="E17" s="37" t="n"/>
      <c r="F17" s="27" t="n"/>
      <c r="G17" s="28">
        <f>IF($B17="","",IF($B17="수입",IF(N($D17)=0,"",IF(설정!$B$35="원 단위",ROUND($D17*IF($C17="USD",설정!$B$10,IF($C17="CNY",설정!$B$11,1)),0),$D17*IF($C17="USD",설정!$B$10,IF($C17="CNY",설정!$B$11,1)))),IF(N($E17)=0,"",$E17)))</f>
        <v/>
      </c>
      <c r="H17" s="29">
        <f>IF($G17="","",IF(설정!$B$36="원 단위",ROUND($G17*(1+IF($B17="수입",설정!$B$16,설정!$B$22)),0),$G17*(1+IF($B17="수입",설정!$B$16,설정!$B$22))))</f>
        <v/>
      </c>
      <c r="I17" s="30" t="n"/>
      <c r="J17" s="30" t="n"/>
      <c r="K17" s="29">
        <f>IF($H17="","",IFERROR(IF(설정!$B$25="원가 가산",$H17*(1+IF($I17="",설정!$B$23,$I17)),$H17/(1-IF($I17="",설정!$B$23,$I17))),0))</f>
        <v/>
      </c>
      <c r="L17" s="29">
        <f>IF($H17="","",IFERROR(IF(설정!$B$26&lt;=1,ROUND(IF(설정!$B$25="원가 가산",$K17*(1+IF($J17="",설정!$B$24,$J17)),$H17/(1-IF($I17="",설정!$B$23,$I17)-IF($J17="",설정!$B$24,$J17))),0),CEILING(IF(설정!$B$25="원가 가산",$K17*(1+IF($J17="",설정!$B$24,$J17)),$H17/(1-IF($I17="",설정!$B$23,$I17)-IF($J17="",설정!$B$24,$J17))),설정!$B$26)),0))</f>
        <v/>
      </c>
      <c r="M17" s="38" t="n"/>
      <c r="N17" s="29">
        <f>IF($L17="","",IF($M17="",$L17,$M17))</f>
        <v/>
      </c>
      <c r="O17" s="29">
        <f>IF($N17="","",IF(설정!$B$25="원가 가산",$H17*IF($I17="",설정!$B$23,$I17),$N17*IF($I17="",설정!$B$23,$I17)))</f>
        <v/>
      </c>
      <c r="P17" s="29">
        <f>IF($N17="","",$N17-$H17-$O17)</f>
        <v/>
      </c>
      <c r="Q17" s="31">
        <f>IF(N($N17)=0,"",$P17/$N17)</f>
        <v/>
      </c>
      <c r="R17" s="31">
        <f>IF(N($L17)=0,"",$N17/$L17-1)</f>
        <v/>
      </c>
      <c r="S17" s="31">
        <f>IF(N($K17)=0,"",$N17/$K17-1)</f>
        <v/>
      </c>
      <c r="T17" s="29">
        <f>IF($N17="","",$N17*$F17)</f>
        <v/>
      </c>
      <c r="U17" s="29">
        <f>IF($P17="","",$P17*$F17)</f>
        <v/>
      </c>
    </row>
    <row r="18">
      <c r="A18" s="25" t="n"/>
      <c r="B18" s="26" t="n"/>
      <c r="C18" s="26" t="n"/>
      <c r="D18" s="23" t="n"/>
      <c r="E18" s="37" t="n"/>
      <c r="F18" s="27" t="n"/>
      <c r="G18" s="28">
        <f>IF($B18="","",IF($B18="수입",IF(N($D18)=0,"",IF(설정!$B$35="원 단위",ROUND($D18*IF($C18="USD",설정!$B$10,IF($C18="CNY",설정!$B$11,1)),0),$D18*IF($C18="USD",설정!$B$10,IF($C18="CNY",설정!$B$11,1)))),IF(N($E18)=0,"",$E18)))</f>
        <v/>
      </c>
      <c r="H18" s="29">
        <f>IF($G18="","",IF(설정!$B$36="원 단위",ROUND($G18*(1+IF($B18="수입",설정!$B$16,설정!$B$22)),0),$G18*(1+IF($B18="수입",설정!$B$16,설정!$B$22))))</f>
        <v/>
      </c>
      <c r="I18" s="30" t="n"/>
      <c r="J18" s="30" t="n"/>
      <c r="K18" s="29">
        <f>IF($H18="","",IFERROR(IF(설정!$B$25="원가 가산",$H18*(1+IF($I18="",설정!$B$23,$I18)),$H18/(1-IF($I18="",설정!$B$23,$I18))),0))</f>
        <v/>
      </c>
      <c r="L18" s="29">
        <f>IF($H18="","",IFERROR(IF(설정!$B$26&lt;=1,ROUND(IF(설정!$B$25="원가 가산",$K18*(1+IF($J18="",설정!$B$24,$J18)),$H18/(1-IF($I18="",설정!$B$23,$I18)-IF($J18="",설정!$B$24,$J18))),0),CEILING(IF(설정!$B$25="원가 가산",$K18*(1+IF($J18="",설정!$B$24,$J18)),$H18/(1-IF($I18="",설정!$B$23,$I18)-IF($J18="",설정!$B$24,$J18))),설정!$B$26)),0))</f>
        <v/>
      </c>
      <c r="M18" s="38" t="n"/>
      <c r="N18" s="29">
        <f>IF($L18="","",IF($M18="",$L18,$M18))</f>
        <v/>
      </c>
      <c r="O18" s="29">
        <f>IF($N18="","",IF(설정!$B$25="원가 가산",$H18*IF($I18="",설정!$B$23,$I18),$N18*IF($I18="",설정!$B$23,$I18)))</f>
        <v/>
      </c>
      <c r="P18" s="29">
        <f>IF($N18="","",$N18-$H18-$O18)</f>
        <v/>
      </c>
      <c r="Q18" s="31">
        <f>IF(N($N18)=0,"",$P18/$N18)</f>
        <v/>
      </c>
      <c r="R18" s="31">
        <f>IF(N($L18)=0,"",$N18/$L18-1)</f>
        <v/>
      </c>
      <c r="S18" s="31">
        <f>IF(N($K18)=0,"",$N18/$K18-1)</f>
        <v/>
      </c>
      <c r="T18" s="29">
        <f>IF($N18="","",$N18*$F18)</f>
        <v/>
      </c>
      <c r="U18" s="29">
        <f>IF($P18="","",$P18*$F18)</f>
        <v/>
      </c>
    </row>
    <row r="19">
      <c r="A19" s="25" t="n"/>
      <c r="B19" s="26" t="n"/>
      <c r="C19" s="26" t="n"/>
      <c r="D19" s="23" t="n"/>
      <c r="E19" s="37" t="n"/>
      <c r="F19" s="27" t="n"/>
      <c r="G19" s="28">
        <f>IF($B19="","",IF($B19="수입",IF(N($D19)=0,"",IF(설정!$B$35="원 단위",ROUND($D19*IF($C19="USD",설정!$B$10,IF($C19="CNY",설정!$B$11,1)),0),$D19*IF($C19="USD",설정!$B$10,IF($C19="CNY",설정!$B$11,1)))),IF(N($E19)=0,"",$E19)))</f>
        <v/>
      </c>
      <c r="H19" s="29">
        <f>IF($G19="","",IF(설정!$B$36="원 단위",ROUND($G19*(1+IF($B19="수입",설정!$B$16,설정!$B$22)),0),$G19*(1+IF($B19="수입",설정!$B$16,설정!$B$22))))</f>
        <v/>
      </c>
      <c r="I19" s="30" t="n"/>
      <c r="J19" s="30" t="n"/>
      <c r="K19" s="29">
        <f>IF($H19="","",IFERROR(IF(설정!$B$25="원가 가산",$H19*(1+IF($I19="",설정!$B$23,$I19)),$H19/(1-IF($I19="",설정!$B$23,$I19))),0))</f>
        <v/>
      </c>
      <c r="L19" s="29">
        <f>IF($H19="","",IFERROR(IF(설정!$B$26&lt;=1,ROUND(IF(설정!$B$25="원가 가산",$K19*(1+IF($J19="",설정!$B$24,$J19)),$H19/(1-IF($I19="",설정!$B$23,$I19)-IF($J19="",설정!$B$24,$J19))),0),CEILING(IF(설정!$B$25="원가 가산",$K19*(1+IF($J19="",설정!$B$24,$J19)),$H19/(1-IF($I19="",설정!$B$23,$I19)-IF($J19="",설정!$B$24,$J19))),설정!$B$26)),0))</f>
        <v/>
      </c>
      <c r="M19" s="38" t="n"/>
      <c r="N19" s="29">
        <f>IF($L19="","",IF($M19="",$L19,$M19))</f>
        <v/>
      </c>
      <c r="O19" s="29">
        <f>IF($N19="","",IF(설정!$B$25="원가 가산",$H19*IF($I19="",설정!$B$23,$I19),$N19*IF($I19="",설정!$B$23,$I19)))</f>
        <v/>
      </c>
      <c r="P19" s="29">
        <f>IF($N19="","",$N19-$H19-$O19)</f>
        <v/>
      </c>
      <c r="Q19" s="31">
        <f>IF(N($N19)=0,"",$P19/$N19)</f>
        <v/>
      </c>
      <c r="R19" s="31">
        <f>IF(N($L19)=0,"",$N19/$L19-1)</f>
        <v/>
      </c>
      <c r="S19" s="31">
        <f>IF(N($K19)=0,"",$N19/$K19-1)</f>
        <v/>
      </c>
      <c r="T19" s="29">
        <f>IF($N19="","",$N19*$F19)</f>
        <v/>
      </c>
      <c r="U19" s="29">
        <f>IF($P19="","",$P19*$F19)</f>
        <v/>
      </c>
    </row>
    <row r="20">
      <c r="A20" s="25" t="n"/>
      <c r="B20" s="26" t="n"/>
      <c r="C20" s="26" t="n"/>
      <c r="D20" s="23" t="n"/>
      <c r="E20" s="37" t="n"/>
      <c r="F20" s="27" t="n"/>
      <c r="G20" s="28">
        <f>IF($B20="","",IF($B20="수입",IF(N($D20)=0,"",IF(설정!$B$35="원 단위",ROUND($D20*IF($C20="USD",설정!$B$10,IF($C20="CNY",설정!$B$11,1)),0),$D20*IF($C20="USD",설정!$B$10,IF($C20="CNY",설정!$B$11,1)))),IF(N($E20)=0,"",$E20)))</f>
        <v/>
      </c>
      <c r="H20" s="29">
        <f>IF($G20="","",IF(설정!$B$36="원 단위",ROUND($G20*(1+IF($B20="수입",설정!$B$16,설정!$B$22)),0),$G20*(1+IF($B20="수입",설정!$B$16,설정!$B$22))))</f>
        <v/>
      </c>
      <c r="I20" s="30" t="n"/>
      <c r="J20" s="30" t="n"/>
      <c r="K20" s="29">
        <f>IF($H20="","",IFERROR(IF(설정!$B$25="원가 가산",$H20*(1+IF($I20="",설정!$B$23,$I20)),$H20/(1-IF($I20="",설정!$B$23,$I20))),0))</f>
        <v/>
      </c>
      <c r="L20" s="29">
        <f>IF($H20="","",IFERROR(IF(설정!$B$26&lt;=1,ROUND(IF(설정!$B$25="원가 가산",$K20*(1+IF($J20="",설정!$B$24,$J20)),$H20/(1-IF($I20="",설정!$B$23,$I20)-IF($J20="",설정!$B$24,$J20))),0),CEILING(IF(설정!$B$25="원가 가산",$K20*(1+IF($J20="",설정!$B$24,$J20)),$H20/(1-IF($I20="",설정!$B$23,$I20)-IF($J20="",설정!$B$24,$J20))),설정!$B$26)),0))</f>
        <v/>
      </c>
      <c r="M20" s="38" t="n"/>
      <c r="N20" s="29">
        <f>IF($L20="","",IF($M20="",$L20,$M20))</f>
        <v/>
      </c>
      <c r="O20" s="29">
        <f>IF($N20="","",IF(설정!$B$25="원가 가산",$H20*IF($I20="",설정!$B$23,$I20),$N20*IF($I20="",설정!$B$23,$I20)))</f>
        <v/>
      </c>
      <c r="P20" s="29">
        <f>IF($N20="","",$N20-$H20-$O20)</f>
        <v/>
      </c>
      <c r="Q20" s="31">
        <f>IF(N($N20)=0,"",$P20/$N20)</f>
        <v/>
      </c>
      <c r="R20" s="31">
        <f>IF(N($L20)=0,"",$N20/$L20-1)</f>
        <v/>
      </c>
      <c r="S20" s="31">
        <f>IF(N($K20)=0,"",$N20/$K20-1)</f>
        <v/>
      </c>
      <c r="T20" s="29">
        <f>IF($N20="","",$N20*$F20)</f>
        <v/>
      </c>
      <c r="U20" s="29">
        <f>IF($P20="","",$P20*$F20)</f>
        <v/>
      </c>
    </row>
    <row r="21">
      <c r="A21" s="25" t="n"/>
      <c r="B21" s="26" t="n"/>
      <c r="C21" s="26" t="n"/>
      <c r="D21" s="23" t="n"/>
      <c r="E21" s="37" t="n"/>
      <c r="F21" s="27" t="n"/>
      <c r="G21" s="28">
        <f>IF($B21="","",IF($B21="수입",IF(N($D21)=0,"",IF(설정!$B$35="원 단위",ROUND($D21*IF($C21="USD",설정!$B$10,IF($C21="CNY",설정!$B$11,1)),0),$D21*IF($C21="USD",설정!$B$10,IF($C21="CNY",설정!$B$11,1)))),IF(N($E21)=0,"",$E21)))</f>
        <v/>
      </c>
      <c r="H21" s="29">
        <f>IF($G21="","",IF(설정!$B$36="원 단위",ROUND($G21*(1+IF($B21="수입",설정!$B$16,설정!$B$22)),0),$G21*(1+IF($B21="수입",설정!$B$16,설정!$B$22))))</f>
        <v/>
      </c>
      <c r="I21" s="30" t="n"/>
      <c r="J21" s="30" t="n"/>
      <c r="K21" s="29">
        <f>IF($H21="","",IFERROR(IF(설정!$B$25="원가 가산",$H21*(1+IF($I21="",설정!$B$23,$I21)),$H21/(1-IF($I21="",설정!$B$23,$I21))),0))</f>
        <v/>
      </c>
      <c r="L21" s="29">
        <f>IF($H21="","",IFERROR(IF(설정!$B$26&lt;=1,ROUND(IF(설정!$B$25="원가 가산",$K21*(1+IF($J21="",설정!$B$24,$J21)),$H21/(1-IF($I21="",설정!$B$23,$I21)-IF($J21="",설정!$B$24,$J21))),0),CEILING(IF(설정!$B$25="원가 가산",$K21*(1+IF($J21="",설정!$B$24,$J21)),$H21/(1-IF($I21="",설정!$B$23,$I21)-IF($J21="",설정!$B$24,$J21))),설정!$B$26)),0))</f>
        <v/>
      </c>
      <c r="M21" s="38" t="n"/>
      <c r="N21" s="29">
        <f>IF($L21="","",IF($M21="",$L21,$M21))</f>
        <v/>
      </c>
      <c r="O21" s="29">
        <f>IF($N21="","",IF(설정!$B$25="원가 가산",$H21*IF($I21="",설정!$B$23,$I21),$N21*IF($I21="",설정!$B$23,$I21)))</f>
        <v/>
      </c>
      <c r="P21" s="29">
        <f>IF($N21="","",$N21-$H21-$O21)</f>
        <v/>
      </c>
      <c r="Q21" s="31">
        <f>IF(N($N21)=0,"",$P21/$N21)</f>
        <v/>
      </c>
      <c r="R21" s="31">
        <f>IF(N($L21)=0,"",$N21/$L21-1)</f>
        <v/>
      </c>
      <c r="S21" s="31">
        <f>IF(N($K21)=0,"",$N21/$K21-1)</f>
        <v/>
      </c>
      <c r="T21" s="29">
        <f>IF($N21="","",$N21*$F21)</f>
        <v/>
      </c>
      <c r="U21" s="29">
        <f>IF($P21="","",$P21*$F21)</f>
        <v/>
      </c>
    </row>
    <row r="22">
      <c r="A22" s="25" t="n"/>
      <c r="B22" s="26" t="n"/>
      <c r="C22" s="26" t="n"/>
      <c r="D22" s="23" t="n"/>
      <c r="E22" s="37" t="n"/>
      <c r="F22" s="27" t="n"/>
      <c r="G22" s="28">
        <f>IF($B22="","",IF($B22="수입",IF(N($D22)=0,"",IF(설정!$B$35="원 단위",ROUND($D22*IF($C22="USD",설정!$B$10,IF($C22="CNY",설정!$B$11,1)),0),$D22*IF($C22="USD",설정!$B$10,IF($C22="CNY",설정!$B$11,1)))),IF(N($E22)=0,"",$E22)))</f>
        <v/>
      </c>
      <c r="H22" s="29">
        <f>IF($G22="","",IF(설정!$B$36="원 단위",ROUND($G22*(1+IF($B22="수입",설정!$B$16,설정!$B$22)),0),$G22*(1+IF($B22="수입",설정!$B$16,설정!$B$22))))</f>
        <v/>
      </c>
      <c r="I22" s="30" t="n"/>
      <c r="J22" s="30" t="n"/>
      <c r="K22" s="29">
        <f>IF($H22="","",IFERROR(IF(설정!$B$25="원가 가산",$H22*(1+IF($I22="",설정!$B$23,$I22)),$H22/(1-IF($I22="",설정!$B$23,$I22))),0))</f>
        <v/>
      </c>
      <c r="L22" s="29">
        <f>IF($H22="","",IFERROR(IF(설정!$B$26&lt;=1,ROUND(IF(설정!$B$25="원가 가산",$K22*(1+IF($J22="",설정!$B$24,$J22)),$H22/(1-IF($I22="",설정!$B$23,$I22)-IF($J22="",설정!$B$24,$J22))),0),CEILING(IF(설정!$B$25="원가 가산",$K22*(1+IF($J22="",설정!$B$24,$J22)),$H22/(1-IF($I22="",설정!$B$23,$I22)-IF($J22="",설정!$B$24,$J22))),설정!$B$26)),0))</f>
        <v/>
      </c>
      <c r="M22" s="38" t="n"/>
      <c r="N22" s="29">
        <f>IF($L22="","",IF($M22="",$L22,$M22))</f>
        <v/>
      </c>
      <c r="O22" s="29">
        <f>IF($N22="","",IF(설정!$B$25="원가 가산",$H22*IF($I22="",설정!$B$23,$I22),$N22*IF($I22="",설정!$B$23,$I22)))</f>
        <v/>
      </c>
      <c r="P22" s="29">
        <f>IF($N22="","",$N22-$H22-$O22)</f>
        <v/>
      </c>
      <c r="Q22" s="31">
        <f>IF(N($N22)=0,"",$P22/$N22)</f>
        <v/>
      </c>
      <c r="R22" s="31">
        <f>IF(N($L22)=0,"",$N22/$L22-1)</f>
        <v/>
      </c>
      <c r="S22" s="31">
        <f>IF(N($K22)=0,"",$N22/$K22-1)</f>
        <v/>
      </c>
      <c r="T22" s="29">
        <f>IF($N22="","",$N22*$F22)</f>
        <v/>
      </c>
      <c r="U22" s="29">
        <f>IF($P22="","",$P22*$F22)</f>
        <v/>
      </c>
    </row>
    <row r="23">
      <c r="A23" s="25" t="n"/>
      <c r="B23" s="26" t="n"/>
      <c r="C23" s="26" t="n"/>
      <c r="D23" s="23" t="n"/>
      <c r="E23" s="37" t="n"/>
      <c r="F23" s="27" t="n"/>
      <c r="G23" s="28">
        <f>IF($B23="","",IF($B23="수입",IF(N($D23)=0,"",IF(설정!$B$35="원 단위",ROUND($D23*IF($C23="USD",설정!$B$10,IF($C23="CNY",설정!$B$11,1)),0),$D23*IF($C23="USD",설정!$B$10,IF($C23="CNY",설정!$B$11,1)))),IF(N($E23)=0,"",$E23)))</f>
        <v/>
      </c>
      <c r="H23" s="29">
        <f>IF($G23="","",IF(설정!$B$36="원 단위",ROUND($G23*(1+IF($B23="수입",설정!$B$16,설정!$B$22)),0),$G23*(1+IF($B23="수입",설정!$B$16,설정!$B$22))))</f>
        <v/>
      </c>
      <c r="I23" s="30" t="n"/>
      <c r="J23" s="30" t="n"/>
      <c r="K23" s="29">
        <f>IF($H23="","",IFERROR(IF(설정!$B$25="원가 가산",$H23*(1+IF($I23="",설정!$B$23,$I23)),$H23/(1-IF($I23="",설정!$B$23,$I23))),0))</f>
        <v/>
      </c>
      <c r="L23" s="29">
        <f>IF($H23="","",IFERROR(IF(설정!$B$26&lt;=1,ROUND(IF(설정!$B$25="원가 가산",$K23*(1+IF($J23="",설정!$B$24,$J23)),$H23/(1-IF($I23="",설정!$B$23,$I23)-IF($J23="",설정!$B$24,$J23))),0),CEILING(IF(설정!$B$25="원가 가산",$K23*(1+IF($J23="",설정!$B$24,$J23)),$H23/(1-IF($I23="",설정!$B$23,$I23)-IF($J23="",설정!$B$24,$J23))),설정!$B$26)),0))</f>
        <v/>
      </c>
      <c r="M23" s="38" t="n"/>
      <c r="N23" s="29">
        <f>IF($L23="","",IF($M23="",$L23,$M23))</f>
        <v/>
      </c>
      <c r="O23" s="29">
        <f>IF($N23="","",IF(설정!$B$25="원가 가산",$H23*IF($I23="",설정!$B$23,$I23),$N23*IF($I23="",설정!$B$23,$I23)))</f>
        <v/>
      </c>
      <c r="P23" s="29">
        <f>IF($N23="","",$N23-$H23-$O23)</f>
        <v/>
      </c>
      <c r="Q23" s="31">
        <f>IF(N($N23)=0,"",$P23/$N23)</f>
        <v/>
      </c>
      <c r="R23" s="31">
        <f>IF(N($L23)=0,"",$N23/$L23-1)</f>
        <v/>
      </c>
      <c r="S23" s="31">
        <f>IF(N($K23)=0,"",$N23/$K23-1)</f>
        <v/>
      </c>
      <c r="T23" s="29">
        <f>IF($N23="","",$N23*$F23)</f>
        <v/>
      </c>
      <c r="U23" s="29">
        <f>IF($P23="","",$P23*$F23)</f>
        <v/>
      </c>
    </row>
    <row r="24">
      <c r="A24" s="25" t="n"/>
      <c r="B24" s="26" t="n"/>
      <c r="C24" s="26" t="n"/>
      <c r="D24" s="23" t="n"/>
      <c r="E24" s="37" t="n"/>
      <c r="F24" s="27" t="n"/>
      <c r="G24" s="28">
        <f>IF($B24="","",IF($B24="수입",IF(N($D24)=0,"",IF(설정!$B$35="원 단위",ROUND($D24*IF($C24="USD",설정!$B$10,IF($C24="CNY",설정!$B$11,1)),0),$D24*IF($C24="USD",설정!$B$10,IF($C24="CNY",설정!$B$11,1)))),IF(N($E24)=0,"",$E24)))</f>
        <v/>
      </c>
      <c r="H24" s="29">
        <f>IF($G24="","",IF(설정!$B$36="원 단위",ROUND($G24*(1+IF($B24="수입",설정!$B$16,설정!$B$22)),0),$G24*(1+IF($B24="수입",설정!$B$16,설정!$B$22))))</f>
        <v/>
      </c>
      <c r="I24" s="30" t="n"/>
      <c r="J24" s="30" t="n"/>
      <c r="K24" s="29">
        <f>IF($H24="","",IFERROR(IF(설정!$B$25="원가 가산",$H24*(1+IF($I24="",설정!$B$23,$I24)),$H24/(1-IF($I24="",설정!$B$23,$I24))),0))</f>
        <v/>
      </c>
      <c r="L24" s="29">
        <f>IF($H24="","",IFERROR(IF(설정!$B$26&lt;=1,ROUND(IF(설정!$B$25="원가 가산",$K24*(1+IF($J24="",설정!$B$24,$J24)),$H24/(1-IF($I24="",설정!$B$23,$I24)-IF($J24="",설정!$B$24,$J24))),0),CEILING(IF(설정!$B$25="원가 가산",$K24*(1+IF($J24="",설정!$B$24,$J24)),$H24/(1-IF($I24="",설정!$B$23,$I24)-IF($J24="",설정!$B$24,$J24))),설정!$B$26)),0))</f>
        <v/>
      </c>
      <c r="M24" s="38" t="n"/>
      <c r="N24" s="29">
        <f>IF($L24="","",IF($M24="",$L24,$M24))</f>
        <v/>
      </c>
      <c r="O24" s="29">
        <f>IF($N24="","",IF(설정!$B$25="원가 가산",$H24*IF($I24="",설정!$B$23,$I24),$N24*IF($I24="",설정!$B$23,$I24)))</f>
        <v/>
      </c>
      <c r="P24" s="29">
        <f>IF($N24="","",$N24-$H24-$O24)</f>
        <v/>
      </c>
      <c r="Q24" s="31">
        <f>IF(N($N24)=0,"",$P24/$N24)</f>
        <v/>
      </c>
      <c r="R24" s="31">
        <f>IF(N($L24)=0,"",$N24/$L24-1)</f>
        <v/>
      </c>
      <c r="S24" s="31">
        <f>IF(N($K24)=0,"",$N24/$K24-1)</f>
        <v/>
      </c>
      <c r="T24" s="29">
        <f>IF($N24="","",$N24*$F24)</f>
        <v/>
      </c>
      <c r="U24" s="29">
        <f>IF($P24="","",$P24*$F24)</f>
        <v/>
      </c>
    </row>
    <row r="25">
      <c r="A25" s="25" t="n"/>
      <c r="B25" s="26" t="n"/>
      <c r="C25" s="26" t="n"/>
      <c r="D25" s="23" t="n"/>
      <c r="E25" s="37" t="n"/>
      <c r="F25" s="27" t="n"/>
      <c r="G25" s="28">
        <f>IF($B25="","",IF($B25="수입",IF(N($D25)=0,"",IF(설정!$B$35="원 단위",ROUND($D25*IF($C25="USD",설정!$B$10,IF($C25="CNY",설정!$B$11,1)),0),$D25*IF($C25="USD",설정!$B$10,IF($C25="CNY",설정!$B$11,1)))),IF(N($E25)=0,"",$E25)))</f>
        <v/>
      </c>
      <c r="H25" s="29">
        <f>IF($G25="","",IF(설정!$B$36="원 단위",ROUND($G25*(1+IF($B25="수입",설정!$B$16,설정!$B$22)),0),$G25*(1+IF($B25="수입",설정!$B$16,설정!$B$22))))</f>
        <v/>
      </c>
      <c r="I25" s="30" t="n"/>
      <c r="J25" s="30" t="n"/>
      <c r="K25" s="29">
        <f>IF($H25="","",IFERROR(IF(설정!$B$25="원가 가산",$H25*(1+IF($I25="",설정!$B$23,$I25)),$H25/(1-IF($I25="",설정!$B$23,$I25))),0))</f>
        <v/>
      </c>
      <c r="L25" s="29">
        <f>IF($H25="","",IFERROR(IF(설정!$B$26&lt;=1,ROUND(IF(설정!$B$25="원가 가산",$K25*(1+IF($J25="",설정!$B$24,$J25)),$H25/(1-IF($I25="",설정!$B$23,$I25)-IF($J25="",설정!$B$24,$J25))),0),CEILING(IF(설정!$B$25="원가 가산",$K25*(1+IF($J25="",설정!$B$24,$J25)),$H25/(1-IF($I25="",설정!$B$23,$I25)-IF($J25="",설정!$B$24,$J25))),설정!$B$26)),0))</f>
        <v/>
      </c>
      <c r="M25" s="38" t="n"/>
      <c r="N25" s="29">
        <f>IF($L25="","",IF($M25="",$L25,$M25))</f>
        <v/>
      </c>
      <c r="O25" s="29">
        <f>IF($N25="","",IF(설정!$B$25="원가 가산",$H25*IF($I25="",설정!$B$23,$I25),$N25*IF($I25="",설정!$B$23,$I25)))</f>
        <v/>
      </c>
      <c r="P25" s="29">
        <f>IF($N25="","",$N25-$H25-$O25)</f>
        <v/>
      </c>
      <c r="Q25" s="31">
        <f>IF(N($N25)=0,"",$P25/$N25)</f>
        <v/>
      </c>
      <c r="R25" s="31">
        <f>IF(N($L25)=0,"",$N25/$L25-1)</f>
        <v/>
      </c>
      <c r="S25" s="31">
        <f>IF(N($K25)=0,"",$N25/$K25-1)</f>
        <v/>
      </c>
      <c r="T25" s="29">
        <f>IF($N25="","",$N25*$F25)</f>
        <v/>
      </c>
      <c r="U25" s="29">
        <f>IF($P25="","",$P25*$F25)</f>
        <v/>
      </c>
    </row>
    <row r="26">
      <c r="A26" s="25" t="n"/>
      <c r="B26" s="26" t="n"/>
      <c r="C26" s="26" t="n"/>
      <c r="D26" s="23" t="n"/>
      <c r="E26" s="37" t="n"/>
      <c r="F26" s="27" t="n"/>
      <c r="G26" s="28">
        <f>IF($B26="","",IF($B26="수입",IF(N($D26)=0,"",IF(설정!$B$35="원 단위",ROUND($D26*IF($C26="USD",설정!$B$10,IF($C26="CNY",설정!$B$11,1)),0),$D26*IF($C26="USD",설정!$B$10,IF($C26="CNY",설정!$B$11,1)))),IF(N($E26)=0,"",$E26)))</f>
        <v/>
      </c>
      <c r="H26" s="29">
        <f>IF($G26="","",IF(설정!$B$36="원 단위",ROUND($G26*(1+IF($B26="수입",설정!$B$16,설정!$B$22)),0),$G26*(1+IF($B26="수입",설정!$B$16,설정!$B$22))))</f>
        <v/>
      </c>
      <c r="I26" s="30" t="n"/>
      <c r="J26" s="30" t="n"/>
      <c r="K26" s="29">
        <f>IF($H26="","",IFERROR(IF(설정!$B$25="원가 가산",$H26*(1+IF($I26="",설정!$B$23,$I26)),$H26/(1-IF($I26="",설정!$B$23,$I26))),0))</f>
        <v/>
      </c>
      <c r="L26" s="29">
        <f>IF($H26="","",IFERROR(IF(설정!$B$26&lt;=1,ROUND(IF(설정!$B$25="원가 가산",$K26*(1+IF($J26="",설정!$B$24,$J26)),$H26/(1-IF($I26="",설정!$B$23,$I26)-IF($J26="",설정!$B$24,$J26))),0),CEILING(IF(설정!$B$25="원가 가산",$K26*(1+IF($J26="",설정!$B$24,$J26)),$H26/(1-IF($I26="",설정!$B$23,$I26)-IF($J26="",설정!$B$24,$J26))),설정!$B$26)),0))</f>
        <v/>
      </c>
      <c r="M26" s="38" t="n"/>
      <c r="N26" s="29">
        <f>IF($L26="","",IF($M26="",$L26,$M26))</f>
        <v/>
      </c>
      <c r="O26" s="29">
        <f>IF($N26="","",IF(설정!$B$25="원가 가산",$H26*IF($I26="",설정!$B$23,$I26),$N26*IF($I26="",설정!$B$23,$I26)))</f>
        <v/>
      </c>
      <c r="P26" s="29">
        <f>IF($N26="","",$N26-$H26-$O26)</f>
        <v/>
      </c>
      <c r="Q26" s="31">
        <f>IF(N($N26)=0,"",$P26/$N26)</f>
        <v/>
      </c>
      <c r="R26" s="31">
        <f>IF(N($L26)=0,"",$N26/$L26-1)</f>
        <v/>
      </c>
      <c r="S26" s="31">
        <f>IF(N($K26)=0,"",$N26/$K26-1)</f>
        <v/>
      </c>
      <c r="T26" s="29">
        <f>IF($N26="","",$N26*$F26)</f>
        <v/>
      </c>
      <c r="U26" s="29">
        <f>IF($P26="","",$P26*$F26)</f>
        <v/>
      </c>
    </row>
    <row r="27">
      <c r="A27" s="25" t="n"/>
      <c r="B27" s="26" t="n"/>
      <c r="C27" s="26" t="n"/>
      <c r="D27" s="23" t="n"/>
      <c r="E27" s="37" t="n"/>
      <c r="F27" s="27" t="n"/>
      <c r="G27" s="28">
        <f>IF($B27="","",IF($B27="수입",IF(N($D27)=0,"",IF(설정!$B$35="원 단위",ROUND($D27*IF($C27="USD",설정!$B$10,IF($C27="CNY",설정!$B$11,1)),0),$D27*IF($C27="USD",설정!$B$10,IF($C27="CNY",설정!$B$11,1)))),IF(N($E27)=0,"",$E27)))</f>
        <v/>
      </c>
      <c r="H27" s="29">
        <f>IF($G27="","",IF(설정!$B$36="원 단위",ROUND($G27*(1+IF($B27="수입",설정!$B$16,설정!$B$22)),0),$G27*(1+IF($B27="수입",설정!$B$16,설정!$B$22))))</f>
        <v/>
      </c>
      <c r="I27" s="30" t="n"/>
      <c r="J27" s="30" t="n"/>
      <c r="K27" s="29">
        <f>IF($H27="","",IFERROR(IF(설정!$B$25="원가 가산",$H27*(1+IF($I27="",설정!$B$23,$I27)),$H27/(1-IF($I27="",설정!$B$23,$I27))),0))</f>
        <v/>
      </c>
      <c r="L27" s="29">
        <f>IF($H27="","",IFERROR(IF(설정!$B$26&lt;=1,ROUND(IF(설정!$B$25="원가 가산",$K27*(1+IF($J27="",설정!$B$24,$J27)),$H27/(1-IF($I27="",설정!$B$23,$I27)-IF($J27="",설정!$B$24,$J27))),0),CEILING(IF(설정!$B$25="원가 가산",$K27*(1+IF($J27="",설정!$B$24,$J27)),$H27/(1-IF($I27="",설정!$B$23,$I27)-IF($J27="",설정!$B$24,$J27))),설정!$B$26)),0))</f>
        <v/>
      </c>
      <c r="M27" s="38" t="n"/>
      <c r="N27" s="29">
        <f>IF($L27="","",IF($M27="",$L27,$M27))</f>
        <v/>
      </c>
      <c r="O27" s="29">
        <f>IF($N27="","",IF(설정!$B$25="원가 가산",$H27*IF($I27="",설정!$B$23,$I27),$N27*IF($I27="",설정!$B$23,$I27)))</f>
        <v/>
      </c>
      <c r="P27" s="29">
        <f>IF($N27="","",$N27-$H27-$O27)</f>
        <v/>
      </c>
      <c r="Q27" s="31">
        <f>IF(N($N27)=0,"",$P27/$N27)</f>
        <v/>
      </c>
      <c r="R27" s="31">
        <f>IF(N($L27)=0,"",$N27/$L27-1)</f>
        <v/>
      </c>
      <c r="S27" s="31">
        <f>IF(N($K27)=0,"",$N27/$K27-1)</f>
        <v/>
      </c>
      <c r="T27" s="29">
        <f>IF($N27="","",$N27*$F27)</f>
        <v/>
      </c>
      <c r="U27" s="29">
        <f>IF($P27="","",$P27*$F27)</f>
        <v/>
      </c>
    </row>
    <row r="28">
      <c r="A28" s="25" t="n"/>
      <c r="B28" s="26" t="n"/>
      <c r="C28" s="26" t="n"/>
      <c r="D28" s="23" t="n"/>
      <c r="E28" s="37" t="n"/>
      <c r="F28" s="27" t="n"/>
      <c r="G28" s="28">
        <f>IF($B28="","",IF($B28="수입",IF(N($D28)=0,"",IF(설정!$B$35="원 단위",ROUND($D28*IF($C28="USD",설정!$B$10,IF($C28="CNY",설정!$B$11,1)),0),$D28*IF($C28="USD",설정!$B$10,IF($C28="CNY",설정!$B$11,1)))),IF(N($E28)=0,"",$E28)))</f>
        <v/>
      </c>
      <c r="H28" s="29">
        <f>IF($G28="","",IF(설정!$B$36="원 단위",ROUND($G28*(1+IF($B28="수입",설정!$B$16,설정!$B$22)),0),$G28*(1+IF($B28="수입",설정!$B$16,설정!$B$22))))</f>
        <v/>
      </c>
      <c r="I28" s="30" t="n"/>
      <c r="J28" s="30" t="n"/>
      <c r="K28" s="29">
        <f>IF($H28="","",IFERROR(IF(설정!$B$25="원가 가산",$H28*(1+IF($I28="",설정!$B$23,$I28)),$H28/(1-IF($I28="",설정!$B$23,$I28))),0))</f>
        <v/>
      </c>
      <c r="L28" s="29">
        <f>IF($H28="","",IFERROR(IF(설정!$B$26&lt;=1,ROUND(IF(설정!$B$25="원가 가산",$K28*(1+IF($J28="",설정!$B$24,$J28)),$H28/(1-IF($I28="",설정!$B$23,$I28)-IF($J28="",설정!$B$24,$J28))),0),CEILING(IF(설정!$B$25="원가 가산",$K28*(1+IF($J28="",설정!$B$24,$J28)),$H28/(1-IF($I28="",설정!$B$23,$I28)-IF($J28="",설정!$B$24,$J28))),설정!$B$26)),0))</f>
        <v/>
      </c>
      <c r="M28" s="38" t="n"/>
      <c r="N28" s="29">
        <f>IF($L28="","",IF($M28="",$L28,$M28))</f>
        <v/>
      </c>
      <c r="O28" s="29">
        <f>IF($N28="","",IF(설정!$B$25="원가 가산",$H28*IF($I28="",설정!$B$23,$I28),$N28*IF($I28="",설정!$B$23,$I28)))</f>
        <v/>
      </c>
      <c r="P28" s="29">
        <f>IF($N28="","",$N28-$H28-$O28)</f>
        <v/>
      </c>
      <c r="Q28" s="31">
        <f>IF(N($N28)=0,"",$P28/$N28)</f>
        <v/>
      </c>
      <c r="R28" s="31">
        <f>IF(N($L28)=0,"",$N28/$L28-1)</f>
        <v/>
      </c>
      <c r="S28" s="31">
        <f>IF(N($K28)=0,"",$N28/$K28-1)</f>
        <v/>
      </c>
      <c r="T28" s="29">
        <f>IF($N28="","",$N28*$F28)</f>
        <v/>
      </c>
      <c r="U28" s="29">
        <f>IF($P28="","",$P28*$F28)</f>
        <v/>
      </c>
    </row>
    <row r="29">
      <c r="A29" s="25" t="n"/>
      <c r="B29" s="26" t="n"/>
      <c r="C29" s="26" t="n"/>
      <c r="D29" s="23" t="n"/>
      <c r="E29" s="37" t="n"/>
      <c r="F29" s="27" t="n"/>
      <c r="G29" s="28">
        <f>IF($B29="","",IF($B29="수입",IF(N($D29)=0,"",IF(설정!$B$35="원 단위",ROUND($D29*IF($C29="USD",설정!$B$10,IF($C29="CNY",설정!$B$11,1)),0),$D29*IF($C29="USD",설정!$B$10,IF($C29="CNY",설정!$B$11,1)))),IF(N($E29)=0,"",$E29)))</f>
        <v/>
      </c>
      <c r="H29" s="29">
        <f>IF($G29="","",IF(설정!$B$36="원 단위",ROUND($G29*(1+IF($B29="수입",설정!$B$16,설정!$B$22)),0),$G29*(1+IF($B29="수입",설정!$B$16,설정!$B$22))))</f>
        <v/>
      </c>
      <c r="I29" s="30" t="n"/>
      <c r="J29" s="30" t="n"/>
      <c r="K29" s="29">
        <f>IF($H29="","",IFERROR(IF(설정!$B$25="원가 가산",$H29*(1+IF($I29="",설정!$B$23,$I29)),$H29/(1-IF($I29="",설정!$B$23,$I29))),0))</f>
        <v/>
      </c>
      <c r="L29" s="29">
        <f>IF($H29="","",IFERROR(IF(설정!$B$26&lt;=1,ROUND(IF(설정!$B$25="원가 가산",$K29*(1+IF($J29="",설정!$B$24,$J29)),$H29/(1-IF($I29="",설정!$B$23,$I29)-IF($J29="",설정!$B$24,$J29))),0),CEILING(IF(설정!$B$25="원가 가산",$K29*(1+IF($J29="",설정!$B$24,$J29)),$H29/(1-IF($I29="",설정!$B$23,$I29)-IF($J29="",설정!$B$24,$J29))),설정!$B$26)),0))</f>
        <v/>
      </c>
      <c r="M29" s="38" t="n"/>
      <c r="N29" s="29">
        <f>IF($L29="","",IF($M29="",$L29,$M29))</f>
        <v/>
      </c>
      <c r="O29" s="29">
        <f>IF($N29="","",IF(설정!$B$25="원가 가산",$H29*IF($I29="",설정!$B$23,$I29),$N29*IF($I29="",설정!$B$23,$I29)))</f>
        <v/>
      </c>
      <c r="P29" s="29">
        <f>IF($N29="","",$N29-$H29-$O29)</f>
        <v/>
      </c>
      <c r="Q29" s="31">
        <f>IF(N($N29)=0,"",$P29/$N29)</f>
        <v/>
      </c>
      <c r="R29" s="31">
        <f>IF(N($L29)=0,"",$N29/$L29-1)</f>
        <v/>
      </c>
      <c r="S29" s="31">
        <f>IF(N($K29)=0,"",$N29/$K29-1)</f>
        <v/>
      </c>
      <c r="T29" s="29">
        <f>IF($N29="","",$N29*$F29)</f>
        <v/>
      </c>
      <c r="U29" s="29">
        <f>IF($P29="","",$P29*$F29)</f>
        <v/>
      </c>
    </row>
    <row r="30">
      <c r="A30" s="25" t="n"/>
      <c r="B30" s="26" t="n"/>
      <c r="C30" s="26" t="n"/>
      <c r="D30" s="23" t="n"/>
      <c r="E30" s="37" t="n"/>
      <c r="F30" s="27" t="n"/>
      <c r="G30" s="28">
        <f>IF($B30="","",IF($B30="수입",IF(N($D30)=0,"",IF(설정!$B$35="원 단위",ROUND($D30*IF($C30="USD",설정!$B$10,IF($C30="CNY",설정!$B$11,1)),0),$D30*IF($C30="USD",설정!$B$10,IF($C30="CNY",설정!$B$11,1)))),IF(N($E30)=0,"",$E30)))</f>
        <v/>
      </c>
      <c r="H30" s="29">
        <f>IF($G30="","",IF(설정!$B$36="원 단위",ROUND($G30*(1+IF($B30="수입",설정!$B$16,설정!$B$22)),0),$G30*(1+IF($B30="수입",설정!$B$16,설정!$B$22))))</f>
        <v/>
      </c>
      <c r="I30" s="30" t="n"/>
      <c r="J30" s="30" t="n"/>
      <c r="K30" s="29">
        <f>IF($H30="","",IFERROR(IF(설정!$B$25="원가 가산",$H30*(1+IF($I30="",설정!$B$23,$I30)),$H30/(1-IF($I30="",설정!$B$23,$I30))),0))</f>
        <v/>
      </c>
      <c r="L30" s="29">
        <f>IF($H30="","",IFERROR(IF(설정!$B$26&lt;=1,ROUND(IF(설정!$B$25="원가 가산",$K30*(1+IF($J30="",설정!$B$24,$J30)),$H30/(1-IF($I30="",설정!$B$23,$I30)-IF($J30="",설정!$B$24,$J30))),0),CEILING(IF(설정!$B$25="원가 가산",$K30*(1+IF($J30="",설정!$B$24,$J30)),$H30/(1-IF($I30="",설정!$B$23,$I30)-IF($J30="",설정!$B$24,$J30))),설정!$B$26)),0))</f>
        <v/>
      </c>
      <c r="M30" s="38" t="n"/>
      <c r="N30" s="29">
        <f>IF($L30="","",IF($M30="",$L30,$M30))</f>
        <v/>
      </c>
      <c r="O30" s="29">
        <f>IF($N30="","",IF(설정!$B$25="원가 가산",$H30*IF($I30="",설정!$B$23,$I30),$N30*IF($I30="",설정!$B$23,$I30)))</f>
        <v/>
      </c>
      <c r="P30" s="29">
        <f>IF($N30="","",$N30-$H30-$O30)</f>
        <v/>
      </c>
      <c r="Q30" s="31">
        <f>IF(N($N30)=0,"",$P30/$N30)</f>
        <v/>
      </c>
      <c r="R30" s="31">
        <f>IF(N($L30)=0,"",$N30/$L30-1)</f>
        <v/>
      </c>
      <c r="S30" s="31">
        <f>IF(N($K30)=0,"",$N30/$K30-1)</f>
        <v/>
      </c>
      <c r="T30" s="29">
        <f>IF($N30="","",$N30*$F30)</f>
        <v/>
      </c>
      <c r="U30" s="29">
        <f>IF($P30="","",$P30*$F30)</f>
        <v/>
      </c>
    </row>
    <row r="31">
      <c r="A31" s="25" t="n"/>
      <c r="B31" s="26" t="n"/>
      <c r="C31" s="26" t="n"/>
      <c r="D31" s="23" t="n"/>
      <c r="E31" s="37" t="n"/>
      <c r="F31" s="27" t="n"/>
      <c r="G31" s="28">
        <f>IF($B31="","",IF($B31="수입",IF(N($D31)=0,"",IF(설정!$B$35="원 단위",ROUND($D31*IF($C31="USD",설정!$B$10,IF($C31="CNY",설정!$B$11,1)),0),$D31*IF($C31="USD",설정!$B$10,IF($C31="CNY",설정!$B$11,1)))),IF(N($E31)=0,"",$E31)))</f>
        <v/>
      </c>
      <c r="H31" s="29">
        <f>IF($G31="","",IF(설정!$B$36="원 단위",ROUND($G31*(1+IF($B31="수입",설정!$B$16,설정!$B$22)),0),$G31*(1+IF($B31="수입",설정!$B$16,설정!$B$22))))</f>
        <v/>
      </c>
      <c r="I31" s="30" t="n"/>
      <c r="J31" s="30" t="n"/>
      <c r="K31" s="29">
        <f>IF($H31="","",IFERROR(IF(설정!$B$25="원가 가산",$H31*(1+IF($I31="",설정!$B$23,$I31)),$H31/(1-IF($I31="",설정!$B$23,$I31))),0))</f>
        <v/>
      </c>
      <c r="L31" s="29">
        <f>IF($H31="","",IFERROR(IF(설정!$B$26&lt;=1,ROUND(IF(설정!$B$25="원가 가산",$K31*(1+IF($J31="",설정!$B$24,$J31)),$H31/(1-IF($I31="",설정!$B$23,$I31)-IF($J31="",설정!$B$24,$J31))),0),CEILING(IF(설정!$B$25="원가 가산",$K31*(1+IF($J31="",설정!$B$24,$J31)),$H31/(1-IF($I31="",설정!$B$23,$I31)-IF($J31="",설정!$B$24,$J31))),설정!$B$26)),0))</f>
        <v/>
      </c>
      <c r="M31" s="38" t="n"/>
      <c r="N31" s="29">
        <f>IF($L31="","",IF($M31="",$L31,$M31))</f>
        <v/>
      </c>
      <c r="O31" s="29">
        <f>IF($N31="","",IF(설정!$B$25="원가 가산",$H31*IF($I31="",설정!$B$23,$I31),$N31*IF($I31="",설정!$B$23,$I31)))</f>
        <v/>
      </c>
      <c r="P31" s="29">
        <f>IF($N31="","",$N31-$H31-$O31)</f>
        <v/>
      </c>
      <c r="Q31" s="31">
        <f>IF(N($N31)=0,"",$P31/$N31)</f>
        <v/>
      </c>
      <c r="R31" s="31">
        <f>IF(N($L31)=0,"",$N31/$L31-1)</f>
        <v/>
      </c>
      <c r="S31" s="31">
        <f>IF(N($K31)=0,"",$N31/$K31-1)</f>
        <v/>
      </c>
      <c r="T31" s="29">
        <f>IF($N31="","",$N31*$F31)</f>
        <v/>
      </c>
      <c r="U31" s="29">
        <f>IF($P31="","",$P31*$F31)</f>
        <v/>
      </c>
    </row>
    <row r="32">
      <c r="A32" s="25" t="n"/>
      <c r="B32" s="26" t="n"/>
      <c r="C32" s="26" t="n"/>
      <c r="D32" s="23" t="n"/>
      <c r="E32" s="37" t="n"/>
      <c r="F32" s="27" t="n"/>
      <c r="G32" s="28">
        <f>IF($B32="","",IF($B32="수입",IF(N($D32)=0,"",IF(설정!$B$35="원 단위",ROUND($D32*IF($C32="USD",설정!$B$10,IF($C32="CNY",설정!$B$11,1)),0),$D32*IF($C32="USD",설정!$B$10,IF($C32="CNY",설정!$B$11,1)))),IF(N($E32)=0,"",$E32)))</f>
        <v/>
      </c>
      <c r="H32" s="29">
        <f>IF($G32="","",IF(설정!$B$36="원 단위",ROUND($G32*(1+IF($B32="수입",설정!$B$16,설정!$B$22)),0),$G32*(1+IF($B32="수입",설정!$B$16,설정!$B$22))))</f>
        <v/>
      </c>
      <c r="I32" s="30" t="n"/>
      <c r="J32" s="30" t="n"/>
      <c r="K32" s="29">
        <f>IF($H32="","",IFERROR(IF(설정!$B$25="원가 가산",$H32*(1+IF($I32="",설정!$B$23,$I32)),$H32/(1-IF($I32="",설정!$B$23,$I32))),0))</f>
        <v/>
      </c>
      <c r="L32" s="29">
        <f>IF($H32="","",IFERROR(IF(설정!$B$26&lt;=1,ROUND(IF(설정!$B$25="원가 가산",$K32*(1+IF($J32="",설정!$B$24,$J32)),$H32/(1-IF($I32="",설정!$B$23,$I32)-IF($J32="",설정!$B$24,$J32))),0),CEILING(IF(설정!$B$25="원가 가산",$K32*(1+IF($J32="",설정!$B$24,$J32)),$H32/(1-IF($I32="",설정!$B$23,$I32)-IF($J32="",설정!$B$24,$J32))),설정!$B$26)),0))</f>
        <v/>
      </c>
      <c r="M32" s="38" t="n"/>
      <c r="N32" s="29">
        <f>IF($L32="","",IF($M32="",$L32,$M32))</f>
        <v/>
      </c>
      <c r="O32" s="29">
        <f>IF($N32="","",IF(설정!$B$25="원가 가산",$H32*IF($I32="",설정!$B$23,$I32),$N32*IF($I32="",설정!$B$23,$I32)))</f>
        <v/>
      </c>
      <c r="P32" s="29">
        <f>IF($N32="","",$N32-$H32-$O32)</f>
        <v/>
      </c>
      <c r="Q32" s="31">
        <f>IF(N($N32)=0,"",$P32/$N32)</f>
        <v/>
      </c>
      <c r="R32" s="31">
        <f>IF(N($L32)=0,"",$N32/$L32-1)</f>
        <v/>
      </c>
      <c r="S32" s="31">
        <f>IF(N($K32)=0,"",$N32/$K32-1)</f>
        <v/>
      </c>
      <c r="T32" s="29">
        <f>IF($N32="","",$N32*$F32)</f>
        <v/>
      </c>
      <c r="U32" s="29">
        <f>IF($P32="","",$P32*$F32)</f>
        <v/>
      </c>
    </row>
    <row r="33">
      <c r="A33" s="25" t="n"/>
      <c r="B33" s="26" t="n"/>
      <c r="C33" s="26" t="n"/>
      <c r="D33" s="23" t="n"/>
      <c r="E33" s="37" t="n"/>
      <c r="F33" s="27" t="n"/>
      <c r="G33" s="28">
        <f>IF($B33="","",IF($B33="수입",IF(N($D33)=0,"",IF(설정!$B$35="원 단위",ROUND($D33*IF($C33="USD",설정!$B$10,IF($C33="CNY",설정!$B$11,1)),0),$D33*IF($C33="USD",설정!$B$10,IF($C33="CNY",설정!$B$11,1)))),IF(N($E33)=0,"",$E33)))</f>
        <v/>
      </c>
      <c r="H33" s="29">
        <f>IF($G33="","",IF(설정!$B$36="원 단위",ROUND($G33*(1+IF($B33="수입",설정!$B$16,설정!$B$22)),0),$G33*(1+IF($B33="수입",설정!$B$16,설정!$B$22))))</f>
        <v/>
      </c>
      <c r="I33" s="30" t="n"/>
      <c r="J33" s="30" t="n"/>
      <c r="K33" s="29">
        <f>IF($H33="","",IFERROR(IF(설정!$B$25="원가 가산",$H33*(1+IF($I33="",설정!$B$23,$I33)),$H33/(1-IF($I33="",설정!$B$23,$I33))),0))</f>
        <v/>
      </c>
      <c r="L33" s="29">
        <f>IF($H33="","",IFERROR(IF(설정!$B$26&lt;=1,ROUND(IF(설정!$B$25="원가 가산",$K33*(1+IF($J33="",설정!$B$24,$J33)),$H33/(1-IF($I33="",설정!$B$23,$I33)-IF($J33="",설정!$B$24,$J33))),0),CEILING(IF(설정!$B$25="원가 가산",$K33*(1+IF($J33="",설정!$B$24,$J33)),$H33/(1-IF($I33="",설정!$B$23,$I33)-IF($J33="",설정!$B$24,$J33))),설정!$B$26)),0))</f>
        <v/>
      </c>
      <c r="M33" s="38" t="n"/>
      <c r="N33" s="29">
        <f>IF($L33="","",IF($M33="",$L33,$M33))</f>
        <v/>
      </c>
      <c r="O33" s="29">
        <f>IF($N33="","",IF(설정!$B$25="원가 가산",$H33*IF($I33="",설정!$B$23,$I33),$N33*IF($I33="",설정!$B$23,$I33)))</f>
        <v/>
      </c>
      <c r="P33" s="29">
        <f>IF($N33="","",$N33-$H33-$O33)</f>
        <v/>
      </c>
      <c r="Q33" s="31">
        <f>IF(N($N33)=0,"",$P33/$N33)</f>
        <v/>
      </c>
      <c r="R33" s="31">
        <f>IF(N($L33)=0,"",$N33/$L33-1)</f>
        <v/>
      </c>
      <c r="S33" s="31">
        <f>IF(N($K33)=0,"",$N33/$K33-1)</f>
        <v/>
      </c>
      <c r="T33" s="29">
        <f>IF($N33="","",$N33*$F33)</f>
        <v/>
      </c>
      <c r="U33" s="29">
        <f>IF($P33="","",$P33*$F33)</f>
        <v/>
      </c>
    </row>
    <row r="34">
      <c r="A34" s="25" t="n"/>
      <c r="B34" s="26" t="n"/>
      <c r="C34" s="26" t="n"/>
      <c r="D34" s="23" t="n"/>
      <c r="E34" s="37" t="n"/>
      <c r="F34" s="27" t="n"/>
      <c r="G34" s="28">
        <f>IF($B34="","",IF($B34="수입",IF(N($D34)=0,"",IF(설정!$B$35="원 단위",ROUND($D34*IF($C34="USD",설정!$B$10,IF($C34="CNY",설정!$B$11,1)),0),$D34*IF($C34="USD",설정!$B$10,IF($C34="CNY",설정!$B$11,1)))),IF(N($E34)=0,"",$E34)))</f>
        <v/>
      </c>
      <c r="H34" s="29">
        <f>IF($G34="","",IF(설정!$B$36="원 단위",ROUND($G34*(1+IF($B34="수입",설정!$B$16,설정!$B$22)),0),$G34*(1+IF($B34="수입",설정!$B$16,설정!$B$22))))</f>
        <v/>
      </c>
      <c r="I34" s="30" t="n"/>
      <c r="J34" s="30" t="n"/>
      <c r="K34" s="29">
        <f>IF($H34="","",IFERROR(IF(설정!$B$25="원가 가산",$H34*(1+IF($I34="",설정!$B$23,$I34)),$H34/(1-IF($I34="",설정!$B$23,$I34))),0))</f>
        <v/>
      </c>
      <c r="L34" s="29">
        <f>IF($H34="","",IFERROR(IF(설정!$B$26&lt;=1,ROUND(IF(설정!$B$25="원가 가산",$K34*(1+IF($J34="",설정!$B$24,$J34)),$H34/(1-IF($I34="",설정!$B$23,$I34)-IF($J34="",설정!$B$24,$J34))),0),CEILING(IF(설정!$B$25="원가 가산",$K34*(1+IF($J34="",설정!$B$24,$J34)),$H34/(1-IF($I34="",설정!$B$23,$I34)-IF($J34="",설정!$B$24,$J34))),설정!$B$26)),0))</f>
        <v/>
      </c>
      <c r="M34" s="38" t="n"/>
      <c r="N34" s="29">
        <f>IF($L34="","",IF($M34="",$L34,$M34))</f>
        <v/>
      </c>
      <c r="O34" s="29">
        <f>IF($N34="","",IF(설정!$B$25="원가 가산",$H34*IF($I34="",설정!$B$23,$I34),$N34*IF($I34="",설정!$B$23,$I34)))</f>
        <v/>
      </c>
      <c r="P34" s="29">
        <f>IF($N34="","",$N34-$H34-$O34)</f>
        <v/>
      </c>
      <c r="Q34" s="31">
        <f>IF(N($N34)=0,"",$P34/$N34)</f>
        <v/>
      </c>
      <c r="R34" s="31">
        <f>IF(N($L34)=0,"",$N34/$L34-1)</f>
        <v/>
      </c>
      <c r="S34" s="31">
        <f>IF(N($K34)=0,"",$N34/$K34-1)</f>
        <v/>
      </c>
      <c r="T34" s="29">
        <f>IF($N34="","",$N34*$F34)</f>
        <v/>
      </c>
      <c r="U34" s="29">
        <f>IF($P34="","",$P34*$F34)</f>
        <v/>
      </c>
    </row>
    <row r="35">
      <c r="A35" s="25" t="n"/>
      <c r="B35" s="26" t="n"/>
      <c r="C35" s="26" t="n"/>
      <c r="D35" s="23" t="n"/>
      <c r="E35" s="37" t="n"/>
      <c r="F35" s="27" t="n"/>
      <c r="G35" s="28">
        <f>IF($B35="","",IF($B35="수입",IF(N($D35)=0,"",IF(설정!$B$35="원 단위",ROUND($D35*IF($C35="USD",설정!$B$10,IF($C35="CNY",설정!$B$11,1)),0),$D35*IF($C35="USD",설정!$B$10,IF($C35="CNY",설정!$B$11,1)))),IF(N($E35)=0,"",$E35)))</f>
        <v/>
      </c>
      <c r="H35" s="29">
        <f>IF($G35="","",IF(설정!$B$36="원 단위",ROUND($G35*(1+IF($B35="수입",설정!$B$16,설정!$B$22)),0),$G35*(1+IF($B35="수입",설정!$B$16,설정!$B$22))))</f>
        <v/>
      </c>
      <c r="I35" s="30" t="n"/>
      <c r="J35" s="30" t="n"/>
      <c r="K35" s="29">
        <f>IF($H35="","",IFERROR(IF(설정!$B$25="원가 가산",$H35*(1+IF($I35="",설정!$B$23,$I35)),$H35/(1-IF($I35="",설정!$B$23,$I35))),0))</f>
        <v/>
      </c>
      <c r="L35" s="29">
        <f>IF($H35="","",IFERROR(IF(설정!$B$26&lt;=1,ROUND(IF(설정!$B$25="원가 가산",$K35*(1+IF($J35="",설정!$B$24,$J35)),$H35/(1-IF($I35="",설정!$B$23,$I35)-IF($J35="",설정!$B$24,$J35))),0),CEILING(IF(설정!$B$25="원가 가산",$K35*(1+IF($J35="",설정!$B$24,$J35)),$H35/(1-IF($I35="",설정!$B$23,$I35)-IF($J35="",설정!$B$24,$J35))),설정!$B$26)),0))</f>
        <v/>
      </c>
      <c r="M35" s="38" t="n"/>
      <c r="N35" s="29">
        <f>IF($L35="","",IF($M35="",$L35,$M35))</f>
        <v/>
      </c>
      <c r="O35" s="29">
        <f>IF($N35="","",IF(설정!$B$25="원가 가산",$H35*IF($I35="",설정!$B$23,$I35),$N35*IF($I35="",설정!$B$23,$I35)))</f>
        <v/>
      </c>
      <c r="P35" s="29">
        <f>IF($N35="","",$N35-$H35-$O35)</f>
        <v/>
      </c>
      <c r="Q35" s="31">
        <f>IF(N($N35)=0,"",$P35/$N35)</f>
        <v/>
      </c>
      <c r="R35" s="31">
        <f>IF(N($L35)=0,"",$N35/$L35-1)</f>
        <v/>
      </c>
      <c r="S35" s="31">
        <f>IF(N($K35)=0,"",$N35/$K35-1)</f>
        <v/>
      </c>
      <c r="T35" s="29">
        <f>IF($N35="","",$N35*$F35)</f>
        <v/>
      </c>
      <c r="U35" s="29">
        <f>IF($P35="","",$P35*$F35)</f>
        <v/>
      </c>
    </row>
    <row r="36">
      <c r="A36" s="25" t="n"/>
      <c r="B36" s="26" t="n"/>
      <c r="C36" s="26" t="n"/>
      <c r="D36" s="23" t="n"/>
      <c r="E36" s="37" t="n"/>
      <c r="F36" s="27" t="n"/>
      <c r="G36" s="28">
        <f>IF($B36="","",IF($B36="수입",IF(N($D36)=0,"",IF(설정!$B$35="원 단위",ROUND($D36*IF($C36="USD",설정!$B$10,IF($C36="CNY",설정!$B$11,1)),0),$D36*IF($C36="USD",설정!$B$10,IF($C36="CNY",설정!$B$11,1)))),IF(N($E36)=0,"",$E36)))</f>
        <v/>
      </c>
      <c r="H36" s="29">
        <f>IF($G36="","",IF(설정!$B$36="원 단위",ROUND($G36*(1+IF($B36="수입",설정!$B$16,설정!$B$22)),0),$G36*(1+IF($B36="수입",설정!$B$16,설정!$B$22))))</f>
        <v/>
      </c>
      <c r="I36" s="30" t="n"/>
      <c r="J36" s="30" t="n"/>
      <c r="K36" s="29">
        <f>IF($H36="","",IFERROR(IF(설정!$B$25="원가 가산",$H36*(1+IF($I36="",설정!$B$23,$I36)),$H36/(1-IF($I36="",설정!$B$23,$I36))),0))</f>
        <v/>
      </c>
      <c r="L36" s="29">
        <f>IF($H36="","",IFERROR(IF(설정!$B$26&lt;=1,ROUND(IF(설정!$B$25="원가 가산",$K36*(1+IF($J36="",설정!$B$24,$J36)),$H36/(1-IF($I36="",설정!$B$23,$I36)-IF($J36="",설정!$B$24,$J36))),0),CEILING(IF(설정!$B$25="원가 가산",$K36*(1+IF($J36="",설정!$B$24,$J36)),$H36/(1-IF($I36="",설정!$B$23,$I36)-IF($J36="",설정!$B$24,$J36))),설정!$B$26)),0))</f>
        <v/>
      </c>
      <c r="M36" s="38" t="n"/>
      <c r="N36" s="29">
        <f>IF($L36="","",IF($M36="",$L36,$M36))</f>
        <v/>
      </c>
      <c r="O36" s="29">
        <f>IF($N36="","",IF(설정!$B$25="원가 가산",$H36*IF($I36="",설정!$B$23,$I36),$N36*IF($I36="",설정!$B$23,$I36)))</f>
        <v/>
      </c>
      <c r="P36" s="29">
        <f>IF($N36="","",$N36-$H36-$O36)</f>
        <v/>
      </c>
      <c r="Q36" s="31">
        <f>IF(N($N36)=0,"",$P36/$N36)</f>
        <v/>
      </c>
      <c r="R36" s="31">
        <f>IF(N($L36)=0,"",$N36/$L36-1)</f>
        <v/>
      </c>
      <c r="S36" s="31">
        <f>IF(N($K36)=0,"",$N36/$K36-1)</f>
        <v/>
      </c>
      <c r="T36" s="29">
        <f>IF($N36="","",$N36*$F36)</f>
        <v/>
      </c>
      <c r="U36" s="29">
        <f>IF($P36="","",$P36*$F36)</f>
        <v/>
      </c>
    </row>
    <row r="37">
      <c r="A37" s="25" t="n"/>
      <c r="B37" s="26" t="n"/>
      <c r="C37" s="26" t="n"/>
      <c r="D37" s="23" t="n"/>
      <c r="E37" s="37" t="n"/>
      <c r="F37" s="27" t="n"/>
      <c r="G37" s="28">
        <f>IF($B37="","",IF($B37="수입",IF(N($D37)=0,"",IF(설정!$B$35="원 단위",ROUND($D37*IF($C37="USD",설정!$B$10,IF($C37="CNY",설정!$B$11,1)),0),$D37*IF($C37="USD",설정!$B$10,IF($C37="CNY",설정!$B$11,1)))),IF(N($E37)=0,"",$E37)))</f>
        <v/>
      </c>
      <c r="H37" s="29">
        <f>IF($G37="","",IF(설정!$B$36="원 단위",ROUND($G37*(1+IF($B37="수입",설정!$B$16,설정!$B$22)),0),$G37*(1+IF($B37="수입",설정!$B$16,설정!$B$22))))</f>
        <v/>
      </c>
      <c r="I37" s="30" t="n"/>
      <c r="J37" s="30" t="n"/>
      <c r="K37" s="29">
        <f>IF($H37="","",IFERROR(IF(설정!$B$25="원가 가산",$H37*(1+IF($I37="",설정!$B$23,$I37)),$H37/(1-IF($I37="",설정!$B$23,$I37))),0))</f>
        <v/>
      </c>
      <c r="L37" s="29">
        <f>IF($H37="","",IFERROR(IF(설정!$B$26&lt;=1,ROUND(IF(설정!$B$25="원가 가산",$K37*(1+IF($J37="",설정!$B$24,$J37)),$H37/(1-IF($I37="",설정!$B$23,$I37)-IF($J37="",설정!$B$24,$J37))),0),CEILING(IF(설정!$B$25="원가 가산",$K37*(1+IF($J37="",설정!$B$24,$J37)),$H37/(1-IF($I37="",설정!$B$23,$I37)-IF($J37="",설정!$B$24,$J37))),설정!$B$26)),0))</f>
        <v/>
      </c>
      <c r="M37" s="38" t="n"/>
      <c r="N37" s="29">
        <f>IF($L37="","",IF($M37="",$L37,$M37))</f>
        <v/>
      </c>
      <c r="O37" s="29">
        <f>IF($N37="","",IF(설정!$B$25="원가 가산",$H37*IF($I37="",설정!$B$23,$I37),$N37*IF($I37="",설정!$B$23,$I37)))</f>
        <v/>
      </c>
      <c r="P37" s="29">
        <f>IF($N37="","",$N37-$H37-$O37)</f>
        <v/>
      </c>
      <c r="Q37" s="31">
        <f>IF(N($N37)=0,"",$P37/$N37)</f>
        <v/>
      </c>
      <c r="R37" s="31">
        <f>IF(N($L37)=0,"",$N37/$L37-1)</f>
        <v/>
      </c>
      <c r="S37" s="31">
        <f>IF(N($K37)=0,"",$N37/$K37-1)</f>
        <v/>
      </c>
      <c r="T37" s="29">
        <f>IF($N37="","",$N37*$F37)</f>
        <v/>
      </c>
      <c r="U37" s="29">
        <f>IF($P37="","",$P37*$F37)</f>
        <v/>
      </c>
    </row>
    <row r="38">
      <c r="A38" s="25" t="n"/>
      <c r="B38" s="26" t="n"/>
      <c r="C38" s="26" t="n"/>
      <c r="D38" s="23" t="n"/>
      <c r="E38" s="37" t="n"/>
      <c r="F38" s="27" t="n"/>
      <c r="G38" s="28">
        <f>IF($B38="","",IF($B38="수입",IF(N($D38)=0,"",IF(설정!$B$35="원 단위",ROUND($D38*IF($C38="USD",설정!$B$10,IF($C38="CNY",설정!$B$11,1)),0),$D38*IF($C38="USD",설정!$B$10,IF($C38="CNY",설정!$B$11,1)))),IF(N($E38)=0,"",$E38)))</f>
        <v/>
      </c>
      <c r="H38" s="29">
        <f>IF($G38="","",IF(설정!$B$36="원 단위",ROUND($G38*(1+IF($B38="수입",설정!$B$16,설정!$B$22)),0),$G38*(1+IF($B38="수입",설정!$B$16,설정!$B$22))))</f>
        <v/>
      </c>
      <c r="I38" s="30" t="n"/>
      <c r="J38" s="30" t="n"/>
      <c r="K38" s="29">
        <f>IF($H38="","",IFERROR(IF(설정!$B$25="원가 가산",$H38*(1+IF($I38="",설정!$B$23,$I38)),$H38/(1-IF($I38="",설정!$B$23,$I38))),0))</f>
        <v/>
      </c>
      <c r="L38" s="29">
        <f>IF($H38="","",IFERROR(IF(설정!$B$26&lt;=1,ROUND(IF(설정!$B$25="원가 가산",$K38*(1+IF($J38="",설정!$B$24,$J38)),$H38/(1-IF($I38="",설정!$B$23,$I38)-IF($J38="",설정!$B$24,$J38))),0),CEILING(IF(설정!$B$25="원가 가산",$K38*(1+IF($J38="",설정!$B$24,$J38)),$H38/(1-IF($I38="",설정!$B$23,$I38)-IF($J38="",설정!$B$24,$J38))),설정!$B$26)),0))</f>
        <v/>
      </c>
      <c r="M38" s="38" t="n"/>
      <c r="N38" s="29">
        <f>IF($L38="","",IF($M38="",$L38,$M38))</f>
        <v/>
      </c>
      <c r="O38" s="29">
        <f>IF($N38="","",IF(설정!$B$25="원가 가산",$H38*IF($I38="",설정!$B$23,$I38),$N38*IF($I38="",설정!$B$23,$I38)))</f>
        <v/>
      </c>
      <c r="P38" s="29">
        <f>IF($N38="","",$N38-$H38-$O38)</f>
        <v/>
      </c>
      <c r="Q38" s="31">
        <f>IF(N($N38)=0,"",$P38/$N38)</f>
        <v/>
      </c>
      <c r="R38" s="31">
        <f>IF(N($L38)=0,"",$N38/$L38-1)</f>
        <v/>
      </c>
      <c r="S38" s="31">
        <f>IF(N($K38)=0,"",$N38/$K38-1)</f>
        <v/>
      </c>
      <c r="T38" s="29">
        <f>IF($N38="","",$N38*$F38)</f>
        <v/>
      </c>
      <c r="U38" s="29">
        <f>IF($P38="","",$P38*$F38)</f>
        <v/>
      </c>
    </row>
    <row r="39">
      <c r="A39" s="25" t="n"/>
      <c r="B39" s="26" t="n"/>
      <c r="C39" s="26" t="n"/>
      <c r="D39" s="23" t="n"/>
      <c r="E39" s="37" t="n"/>
      <c r="F39" s="27" t="n"/>
      <c r="G39" s="28">
        <f>IF($B39="","",IF($B39="수입",IF(N($D39)=0,"",IF(설정!$B$35="원 단위",ROUND($D39*IF($C39="USD",설정!$B$10,IF($C39="CNY",설정!$B$11,1)),0),$D39*IF($C39="USD",설정!$B$10,IF($C39="CNY",설정!$B$11,1)))),IF(N($E39)=0,"",$E39)))</f>
        <v/>
      </c>
      <c r="H39" s="29">
        <f>IF($G39="","",IF(설정!$B$36="원 단위",ROUND($G39*(1+IF($B39="수입",설정!$B$16,설정!$B$22)),0),$G39*(1+IF($B39="수입",설정!$B$16,설정!$B$22))))</f>
        <v/>
      </c>
      <c r="I39" s="30" t="n"/>
      <c r="J39" s="30" t="n"/>
      <c r="K39" s="29">
        <f>IF($H39="","",IFERROR(IF(설정!$B$25="원가 가산",$H39*(1+IF($I39="",설정!$B$23,$I39)),$H39/(1-IF($I39="",설정!$B$23,$I39))),0))</f>
        <v/>
      </c>
      <c r="L39" s="29">
        <f>IF($H39="","",IFERROR(IF(설정!$B$26&lt;=1,ROUND(IF(설정!$B$25="원가 가산",$K39*(1+IF($J39="",설정!$B$24,$J39)),$H39/(1-IF($I39="",설정!$B$23,$I39)-IF($J39="",설정!$B$24,$J39))),0),CEILING(IF(설정!$B$25="원가 가산",$K39*(1+IF($J39="",설정!$B$24,$J39)),$H39/(1-IF($I39="",설정!$B$23,$I39)-IF($J39="",설정!$B$24,$J39))),설정!$B$26)),0))</f>
        <v/>
      </c>
      <c r="M39" s="38" t="n"/>
      <c r="N39" s="29">
        <f>IF($L39="","",IF($M39="",$L39,$M39))</f>
        <v/>
      </c>
      <c r="O39" s="29">
        <f>IF($N39="","",IF(설정!$B$25="원가 가산",$H39*IF($I39="",설정!$B$23,$I39),$N39*IF($I39="",설정!$B$23,$I39)))</f>
        <v/>
      </c>
      <c r="P39" s="29">
        <f>IF($N39="","",$N39-$H39-$O39)</f>
        <v/>
      </c>
      <c r="Q39" s="31">
        <f>IF(N($N39)=0,"",$P39/$N39)</f>
        <v/>
      </c>
      <c r="R39" s="31">
        <f>IF(N($L39)=0,"",$N39/$L39-1)</f>
        <v/>
      </c>
      <c r="S39" s="31">
        <f>IF(N($K39)=0,"",$N39/$K39-1)</f>
        <v/>
      </c>
      <c r="T39" s="29">
        <f>IF($N39="","",$N39*$F39)</f>
        <v/>
      </c>
      <c r="U39" s="29">
        <f>IF($P39="","",$P39*$F39)</f>
        <v/>
      </c>
    </row>
    <row r="40">
      <c r="A40" s="25" t="n"/>
      <c r="B40" s="26" t="n"/>
      <c r="C40" s="26" t="n"/>
      <c r="D40" s="23" t="n"/>
      <c r="E40" s="37" t="n"/>
      <c r="F40" s="27" t="n"/>
      <c r="G40" s="28">
        <f>IF($B40="","",IF($B40="수입",IF(N($D40)=0,"",IF(설정!$B$35="원 단위",ROUND($D40*IF($C40="USD",설정!$B$10,IF($C40="CNY",설정!$B$11,1)),0),$D40*IF($C40="USD",설정!$B$10,IF($C40="CNY",설정!$B$11,1)))),IF(N($E40)=0,"",$E40)))</f>
        <v/>
      </c>
      <c r="H40" s="29">
        <f>IF($G40="","",IF(설정!$B$36="원 단위",ROUND($G40*(1+IF($B40="수입",설정!$B$16,설정!$B$22)),0),$G40*(1+IF($B40="수입",설정!$B$16,설정!$B$22))))</f>
        <v/>
      </c>
      <c r="I40" s="30" t="n"/>
      <c r="J40" s="30" t="n"/>
      <c r="K40" s="29">
        <f>IF($H40="","",IFERROR(IF(설정!$B$25="원가 가산",$H40*(1+IF($I40="",설정!$B$23,$I40)),$H40/(1-IF($I40="",설정!$B$23,$I40))),0))</f>
        <v/>
      </c>
      <c r="L40" s="29">
        <f>IF($H40="","",IFERROR(IF(설정!$B$26&lt;=1,ROUND(IF(설정!$B$25="원가 가산",$K40*(1+IF($J40="",설정!$B$24,$J40)),$H40/(1-IF($I40="",설정!$B$23,$I40)-IF($J40="",설정!$B$24,$J40))),0),CEILING(IF(설정!$B$25="원가 가산",$K40*(1+IF($J40="",설정!$B$24,$J40)),$H40/(1-IF($I40="",설정!$B$23,$I40)-IF($J40="",설정!$B$24,$J40))),설정!$B$26)),0))</f>
        <v/>
      </c>
      <c r="M40" s="38" t="n"/>
      <c r="N40" s="29">
        <f>IF($L40="","",IF($M40="",$L40,$M40))</f>
        <v/>
      </c>
      <c r="O40" s="29">
        <f>IF($N40="","",IF(설정!$B$25="원가 가산",$H40*IF($I40="",설정!$B$23,$I40),$N40*IF($I40="",설정!$B$23,$I40)))</f>
        <v/>
      </c>
      <c r="P40" s="29">
        <f>IF($N40="","",$N40-$H40-$O40)</f>
        <v/>
      </c>
      <c r="Q40" s="31">
        <f>IF(N($N40)=0,"",$P40/$N40)</f>
        <v/>
      </c>
      <c r="R40" s="31">
        <f>IF(N($L40)=0,"",$N40/$L40-1)</f>
        <v/>
      </c>
      <c r="S40" s="31">
        <f>IF(N($K40)=0,"",$N40/$K40-1)</f>
        <v/>
      </c>
      <c r="T40" s="29">
        <f>IF($N40="","",$N40*$F40)</f>
        <v/>
      </c>
      <c r="U40" s="29">
        <f>IF($P40="","",$P40*$F40)</f>
        <v/>
      </c>
    </row>
    <row r="41">
      <c r="A41" s="25" t="n"/>
      <c r="B41" s="26" t="n"/>
      <c r="C41" s="26" t="n"/>
      <c r="D41" s="23" t="n"/>
      <c r="E41" s="37" t="n"/>
      <c r="F41" s="27" t="n"/>
      <c r="G41" s="28">
        <f>IF($B41="","",IF($B41="수입",IF(N($D41)=0,"",IF(설정!$B$35="원 단위",ROUND($D41*IF($C41="USD",설정!$B$10,IF($C41="CNY",설정!$B$11,1)),0),$D41*IF($C41="USD",설정!$B$10,IF($C41="CNY",설정!$B$11,1)))),IF(N($E41)=0,"",$E41)))</f>
        <v/>
      </c>
      <c r="H41" s="29">
        <f>IF($G41="","",IF(설정!$B$36="원 단위",ROUND($G41*(1+IF($B41="수입",설정!$B$16,설정!$B$22)),0),$G41*(1+IF($B41="수입",설정!$B$16,설정!$B$22))))</f>
        <v/>
      </c>
      <c r="I41" s="30" t="n"/>
      <c r="J41" s="30" t="n"/>
      <c r="K41" s="29">
        <f>IF($H41="","",IFERROR(IF(설정!$B$25="원가 가산",$H41*(1+IF($I41="",설정!$B$23,$I41)),$H41/(1-IF($I41="",설정!$B$23,$I41))),0))</f>
        <v/>
      </c>
      <c r="L41" s="29">
        <f>IF($H41="","",IFERROR(IF(설정!$B$26&lt;=1,ROUND(IF(설정!$B$25="원가 가산",$K41*(1+IF($J41="",설정!$B$24,$J41)),$H41/(1-IF($I41="",설정!$B$23,$I41)-IF($J41="",설정!$B$24,$J41))),0),CEILING(IF(설정!$B$25="원가 가산",$K41*(1+IF($J41="",설정!$B$24,$J41)),$H41/(1-IF($I41="",설정!$B$23,$I41)-IF($J41="",설정!$B$24,$J41))),설정!$B$26)),0))</f>
        <v/>
      </c>
      <c r="M41" s="38" t="n"/>
      <c r="N41" s="29">
        <f>IF($L41="","",IF($M41="",$L41,$M41))</f>
        <v/>
      </c>
      <c r="O41" s="29">
        <f>IF($N41="","",IF(설정!$B$25="원가 가산",$H41*IF($I41="",설정!$B$23,$I41),$N41*IF($I41="",설정!$B$23,$I41)))</f>
        <v/>
      </c>
      <c r="P41" s="29">
        <f>IF($N41="","",$N41-$H41-$O41)</f>
        <v/>
      </c>
      <c r="Q41" s="31">
        <f>IF(N($N41)=0,"",$P41/$N41)</f>
        <v/>
      </c>
      <c r="R41" s="31">
        <f>IF(N($L41)=0,"",$N41/$L41-1)</f>
        <v/>
      </c>
      <c r="S41" s="31">
        <f>IF(N($K41)=0,"",$N41/$K41-1)</f>
        <v/>
      </c>
      <c r="T41" s="29">
        <f>IF($N41="","",$N41*$F41)</f>
        <v/>
      </c>
      <c r="U41" s="29">
        <f>IF($P41="","",$P41*$F41)</f>
        <v/>
      </c>
    </row>
    <row r="42">
      <c r="A42" s="25" t="n"/>
      <c r="B42" s="26" t="n"/>
      <c r="C42" s="26" t="n"/>
      <c r="D42" s="23" t="n"/>
      <c r="E42" s="37" t="n"/>
      <c r="F42" s="27" t="n"/>
      <c r="G42" s="28">
        <f>IF($B42="","",IF($B42="수입",IF(N($D42)=0,"",IF(설정!$B$35="원 단위",ROUND($D42*IF($C42="USD",설정!$B$10,IF($C42="CNY",설정!$B$11,1)),0),$D42*IF($C42="USD",설정!$B$10,IF($C42="CNY",설정!$B$11,1)))),IF(N($E42)=0,"",$E42)))</f>
        <v/>
      </c>
      <c r="H42" s="29">
        <f>IF($G42="","",IF(설정!$B$36="원 단위",ROUND($G42*(1+IF($B42="수입",설정!$B$16,설정!$B$22)),0),$G42*(1+IF($B42="수입",설정!$B$16,설정!$B$22))))</f>
        <v/>
      </c>
      <c r="I42" s="30" t="n"/>
      <c r="J42" s="30" t="n"/>
      <c r="K42" s="29">
        <f>IF($H42="","",IFERROR(IF(설정!$B$25="원가 가산",$H42*(1+IF($I42="",설정!$B$23,$I42)),$H42/(1-IF($I42="",설정!$B$23,$I42))),0))</f>
        <v/>
      </c>
      <c r="L42" s="29">
        <f>IF($H42="","",IFERROR(IF(설정!$B$26&lt;=1,ROUND(IF(설정!$B$25="원가 가산",$K42*(1+IF($J42="",설정!$B$24,$J42)),$H42/(1-IF($I42="",설정!$B$23,$I42)-IF($J42="",설정!$B$24,$J42))),0),CEILING(IF(설정!$B$25="원가 가산",$K42*(1+IF($J42="",설정!$B$24,$J42)),$H42/(1-IF($I42="",설정!$B$23,$I42)-IF($J42="",설정!$B$24,$J42))),설정!$B$26)),0))</f>
        <v/>
      </c>
      <c r="M42" s="38" t="n"/>
      <c r="N42" s="29">
        <f>IF($L42="","",IF($M42="",$L42,$M42))</f>
        <v/>
      </c>
      <c r="O42" s="29">
        <f>IF($N42="","",IF(설정!$B$25="원가 가산",$H42*IF($I42="",설정!$B$23,$I42),$N42*IF($I42="",설정!$B$23,$I42)))</f>
        <v/>
      </c>
      <c r="P42" s="29">
        <f>IF($N42="","",$N42-$H42-$O42)</f>
        <v/>
      </c>
      <c r="Q42" s="31">
        <f>IF(N($N42)=0,"",$P42/$N42)</f>
        <v/>
      </c>
      <c r="R42" s="31">
        <f>IF(N($L42)=0,"",$N42/$L42-1)</f>
        <v/>
      </c>
      <c r="S42" s="31">
        <f>IF(N($K42)=0,"",$N42/$K42-1)</f>
        <v/>
      </c>
      <c r="T42" s="29">
        <f>IF($N42="","",$N42*$F42)</f>
        <v/>
      </c>
      <c r="U42" s="29">
        <f>IF($P42="","",$P42*$F42)</f>
        <v/>
      </c>
    </row>
    <row r="43">
      <c r="A43" s="25" t="n"/>
      <c r="B43" s="26" t="n"/>
      <c r="C43" s="26" t="n"/>
      <c r="D43" s="23" t="n"/>
      <c r="E43" s="37" t="n"/>
      <c r="F43" s="27" t="n"/>
      <c r="G43" s="28">
        <f>IF($B43="","",IF($B43="수입",IF(N($D43)=0,"",IF(설정!$B$35="원 단위",ROUND($D43*IF($C43="USD",설정!$B$10,IF($C43="CNY",설정!$B$11,1)),0),$D43*IF($C43="USD",설정!$B$10,IF($C43="CNY",설정!$B$11,1)))),IF(N($E43)=0,"",$E43)))</f>
        <v/>
      </c>
      <c r="H43" s="29">
        <f>IF($G43="","",IF(설정!$B$36="원 단위",ROUND($G43*(1+IF($B43="수입",설정!$B$16,설정!$B$22)),0),$G43*(1+IF($B43="수입",설정!$B$16,설정!$B$22))))</f>
        <v/>
      </c>
      <c r="I43" s="30" t="n"/>
      <c r="J43" s="30" t="n"/>
      <c r="K43" s="29">
        <f>IF($H43="","",IFERROR(IF(설정!$B$25="원가 가산",$H43*(1+IF($I43="",설정!$B$23,$I43)),$H43/(1-IF($I43="",설정!$B$23,$I43))),0))</f>
        <v/>
      </c>
      <c r="L43" s="29">
        <f>IF($H43="","",IFERROR(IF(설정!$B$26&lt;=1,ROUND(IF(설정!$B$25="원가 가산",$K43*(1+IF($J43="",설정!$B$24,$J43)),$H43/(1-IF($I43="",설정!$B$23,$I43)-IF($J43="",설정!$B$24,$J43))),0),CEILING(IF(설정!$B$25="원가 가산",$K43*(1+IF($J43="",설정!$B$24,$J43)),$H43/(1-IF($I43="",설정!$B$23,$I43)-IF($J43="",설정!$B$24,$J43))),설정!$B$26)),0))</f>
        <v/>
      </c>
      <c r="M43" s="38" t="n"/>
      <c r="N43" s="29">
        <f>IF($L43="","",IF($M43="",$L43,$M43))</f>
        <v/>
      </c>
      <c r="O43" s="29">
        <f>IF($N43="","",IF(설정!$B$25="원가 가산",$H43*IF($I43="",설정!$B$23,$I43),$N43*IF($I43="",설정!$B$23,$I43)))</f>
        <v/>
      </c>
      <c r="P43" s="29">
        <f>IF($N43="","",$N43-$H43-$O43)</f>
        <v/>
      </c>
      <c r="Q43" s="31">
        <f>IF(N($N43)=0,"",$P43/$N43)</f>
        <v/>
      </c>
      <c r="R43" s="31">
        <f>IF(N($L43)=0,"",$N43/$L43-1)</f>
        <v/>
      </c>
      <c r="S43" s="31">
        <f>IF(N($K43)=0,"",$N43/$K43-1)</f>
        <v/>
      </c>
      <c r="T43" s="29">
        <f>IF($N43="","",$N43*$F43)</f>
        <v/>
      </c>
      <c r="U43" s="29">
        <f>IF($P43="","",$P43*$F43)</f>
        <v/>
      </c>
    </row>
    <row r="44">
      <c r="A44" s="25" t="n"/>
      <c r="B44" s="26" t="n"/>
      <c r="C44" s="26" t="n"/>
      <c r="D44" s="23" t="n"/>
      <c r="E44" s="37" t="n"/>
      <c r="F44" s="27" t="n"/>
      <c r="G44" s="28">
        <f>IF($B44="","",IF($B44="수입",IF(N($D44)=0,"",IF(설정!$B$35="원 단위",ROUND($D44*IF($C44="USD",설정!$B$10,IF($C44="CNY",설정!$B$11,1)),0),$D44*IF($C44="USD",설정!$B$10,IF($C44="CNY",설정!$B$11,1)))),IF(N($E44)=0,"",$E44)))</f>
        <v/>
      </c>
      <c r="H44" s="29">
        <f>IF($G44="","",IF(설정!$B$36="원 단위",ROUND($G44*(1+IF($B44="수입",설정!$B$16,설정!$B$22)),0),$G44*(1+IF($B44="수입",설정!$B$16,설정!$B$22))))</f>
        <v/>
      </c>
      <c r="I44" s="30" t="n"/>
      <c r="J44" s="30" t="n"/>
      <c r="K44" s="29">
        <f>IF($H44="","",IFERROR(IF(설정!$B$25="원가 가산",$H44*(1+IF($I44="",설정!$B$23,$I44)),$H44/(1-IF($I44="",설정!$B$23,$I44))),0))</f>
        <v/>
      </c>
      <c r="L44" s="29">
        <f>IF($H44="","",IFERROR(IF(설정!$B$26&lt;=1,ROUND(IF(설정!$B$25="원가 가산",$K44*(1+IF($J44="",설정!$B$24,$J44)),$H44/(1-IF($I44="",설정!$B$23,$I44)-IF($J44="",설정!$B$24,$J44))),0),CEILING(IF(설정!$B$25="원가 가산",$K44*(1+IF($J44="",설정!$B$24,$J44)),$H44/(1-IF($I44="",설정!$B$23,$I44)-IF($J44="",설정!$B$24,$J44))),설정!$B$26)),0))</f>
        <v/>
      </c>
      <c r="M44" s="38" t="n"/>
      <c r="N44" s="29">
        <f>IF($L44="","",IF($M44="",$L44,$M44))</f>
        <v/>
      </c>
      <c r="O44" s="29">
        <f>IF($N44="","",IF(설정!$B$25="원가 가산",$H44*IF($I44="",설정!$B$23,$I44),$N44*IF($I44="",설정!$B$23,$I44)))</f>
        <v/>
      </c>
      <c r="P44" s="29">
        <f>IF($N44="","",$N44-$H44-$O44)</f>
        <v/>
      </c>
      <c r="Q44" s="31">
        <f>IF(N($N44)=0,"",$P44/$N44)</f>
        <v/>
      </c>
      <c r="R44" s="31">
        <f>IF(N($L44)=0,"",$N44/$L44-1)</f>
        <v/>
      </c>
      <c r="S44" s="31">
        <f>IF(N($K44)=0,"",$N44/$K44-1)</f>
        <v/>
      </c>
      <c r="T44" s="29">
        <f>IF($N44="","",$N44*$F44)</f>
        <v/>
      </c>
      <c r="U44" s="29">
        <f>IF($P44="","",$P44*$F44)</f>
        <v/>
      </c>
    </row>
    <row r="45">
      <c r="A45" s="32" t="inlineStr">
        <is>
          <t>합계</t>
        </is>
      </c>
      <c r="B45" s="33" t="n"/>
      <c r="C45" s="33" t="n"/>
      <c r="D45" s="33" t="n"/>
      <c r="E45" s="33" t="n"/>
      <c r="F45" s="34">
        <f>SUM(F5:F44)</f>
        <v/>
      </c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6">
        <f>IFERROR(SUM(U5:U44)/SUM(T5:T44),0)</f>
        <v/>
      </c>
      <c r="R45" s="33" t="n"/>
      <c r="S45" s="33" t="n"/>
      <c r="T45" s="35">
        <f>SUM(T5:T44)</f>
        <v/>
      </c>
      <c r="U45" s="35">
        <f>SUM(U5:U44)</f>
        <v/>
      </c>
    </row>
    <row r="47">
      <c r="A47" s="5" t="inlineStr">
        <is>
          <t>① 구분(수입/국내)에 따라 D열(외화 단가) 또는 E열(원화 매입단가) 하나만 채웁니다.</t>
        </is>
      </c>
    </row>
    <row r="48">
      <c r="A48" s="5" t="inlineStr">
        <is>
          <t>② G열 원화 환산과 H열 매입원가의 반올림 지점은 설정 시트 B35·B36에서 정합니다.</t>
        </is>
      </c>
    </row>
    <row r="49">
      <c r="A49" s="5" t="inlineStr">
        <is>
          <t>③ I·J열을 비워 두면 설정 시트의 기본 판관비율·영업이익률이 적용됩니다.</t>
        </is>
      </c>
    </row>
    <row r="50">
      <c r="A50" s="5" t="inlineStr">
        <is>
          <t>④ L열 기준 유통가를 영업에 전달하고, 영업이 정한 값을 M열(노란 칸)에 적습니다. 비워 두면 기준가가 그대로 적용됩니다.</t>
        </is>
      </c>
    </row>
    <row r="51">
      <c r="A51" s="4" t="inlineStr">
        <is>
          <t>⑤ 최종 유통가가 BEP 가격보다 낮으면 M열이 빨갛게 표시됩니다 — 팔수록 손해라는 뜻입니다.</t>
        </is>
      </c>
    </row>
    <row r="52">
      <c r="A52" s="4" t="inlineStr">
        <is>
          <t>샘플 6개 상품은 형식을 보여주기 위한 예시입니다. 실제 상품으로 교체하세요.</t>
        </is>
      </c>
    </row>
    <row r="53">
      <c r="A53" s="5" t="inlineStr">
        <is>
          <t>표시 금액은 모두 부가세 별도입니다.</t>
        </is>
      </c>
    </row>
  </sheetData>
  <conditionalFormatting sqref="M5:M44">
    <cfRule type="expression" priority="1" dxfId="0" stopIfTrue="0">
      <formula>AND(N($M5)&gt;0,N($K5)&gt;0,$M5&lt;$K5)</formula>
    </cfRule>
  </conditionalFormatting>
  <conditionalFormatting sqref="R5:R44">
    <cfRule type="expression" priority="2" dxfId="1" stopIfTrue="0">
      <formula>AND(N($N5)&gt;0,$N5&lt;$L5)</formula>
    </cfRule>
  </conditionalFormatting>
  <dataValidations count="2">
    <dataValidation sqref="B5:B44" showDropDown="0" showInputMessage="0" showErrorMessage="0" allowBlank="1" type="list">
      <formula1>"수입,국내"</formula1>
    </dataValidation>
    <dataValidation sqref="C5:C44" showDropDown="0" showInputMessage="0" showErrorMessage="0" allowBlank="1" type="list">
      <formula1>"USD,CNY,KRW"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2026-09-08T06:08:51Z</dcterms:created>
  <dcterms:modified xsi:type="dcterms:W3CDTF">2026-09-08T06:08:51Z</dcterms:modified>
</cp:coreProperties>
</file>