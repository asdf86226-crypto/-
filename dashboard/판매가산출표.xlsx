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안내" sheetId="1" state="visible" r:id="rId1"/>
    <sheet name="설정" sheetId="2" state="visible" r:id="rId2"/>
    <sheet name="월평균환율" sheetId="3" state="visible" r:id="rId3"/>
    <sheet name="판매가산출" sheetId="4" state="visible" r:id="rId4"/>
    <sheet name="상품판매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#,##0;(#,##0);-"/>
  </numFmts>
  <fonts count="10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808080"/>
      <sz val="9"/>
    </font>
    <font>
      <name val="맑은 고딕"/>
      <b val="1"/>
      <color rgb="0014606B"/>
      <sz val="10"/>
    </font>
    <font>
      <name val="맑은 고딕"/>
      <sz val="10"/>
    </font>
    <font>
      <name val="맑은 고딕"/>
      <color rgb="000000FF"/>
      <sz val="10"/>
    </font>
    <font>
      <name val="맑은 고딕"/>
      <color rgb="00000000"/>
      <sz val="10"/>
    </font>
    <font>
      <name val="맑은 고딕"/>
      <b val="1"/>
      <sz val="10"/>
    </font>
    <font>
      <name val="맑은 고딕"/>
      <color rgb="00008000"/>
      <sz val="10"/>
    </font>
    <font>
      <name val="맑은 고딕"/>
      <color rgb="00C00000"/>
      <sz val="9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FEE"/>
      </patternFill>
    </fill>
    <fill>
      <patternFill patternType="solid">
        <fgColor rgb="00FFF6D5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2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7" fillId="0" borderId="0" pivotButton="0" quotePrefix="0" xfId="0"/>
    <xf numFmtId="4" fontId="8" fillId="0" borderId="1" pivotButton="0" quotePrefix="0" xfId="0"/>
    <xf numFmtId="4" fontId="5" fillId="2" borderId="1" pivotButton="0" quotePrefix="0" xfId="0"/>
    <xf numFmtId="165" fontId="5" fillId="2" borderId="1" pivotButton="0" quotePrefix="0" xfId="0"/>
    <xf numFmtId="3" fontId="5" fillId="2" borderId="1" pivotButton="0" quotePrefix="0" xfId="0"/>
    <xf numFmtId="0" fontId="5" fillId="0" borderId="0" pivotButton="0" quotePrefix="0" xfId="0"/>
    <xf numFmtId="0" fontId="4" fillId="2" borderId="0" pivotButton="0" quotePrefix="0" xfId="0"/>
    <xf numFmtId="0" fontId="8" fillId="0" borderId="0" pivotButton="0" quotePrefix="0" xfId="0"/>
    <xf numFmtId="0" fontId="7" fillId="3" borderId="1" applyAlignment="1" pivotButton="0" quotePrefix="0" xfId="0">
      <alignment horizontal="center" vertical="center"/>
    </xf>
    <xf numFmtId="49" fontId="5" fillId="4" borderId="1" applyAlignment="1" pivotButton="0" quotePrefix="0" xfId="0">
      <alignment horizontal="center" vertical="center"/>
    </xf>
    <xf numFmtId="4" fontId="5" fillId="4" borderId="1" pivotButton="0" quotePrefix="0" xfId="0"/>
    <xf numFmtId="49" fontId="5" fillId="0" borderId="1" applyAlignment="1" pivotButton="0" quotePrefix="0" xfId="0">
      <alignment horizontal="center"/>
    </xf>
    <xf numFmtId="4" fontId="5" fillId="0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3" fontId="5" fillId="0" borderId="1" pivotButton="0" quotePrefix="0" xfId="0"/>
    <xf numFmtId="166" fontId="8" fillId="0" borderId="1" pivotButton="0" quotePrefix="0" xfId="0"/>
    <xf numFmtId="166" fontId="6" fillId="0" borderId="1" pivotButton="0" quotePrefix="0" xfId="0"/>
    <xf numFmtId="165" fontId="5" fillId="0" borderId="1" pivotButton="0" quotePrefix="0" xfId="0"/>
    <xf numFmtId="165" fontId="6" fillId="0" borderId="1" pivotButton="0" quotePrefix="0" xfId="0"/>
    <xf numFmtId="0" fontId="7" fillId="5" borderId="1" pivotButton="0" quotePrefix="0" xfId="0"/>
    <xf numFmtId="0" fontId="0" fillId="5" borderId="1" pivotButton="0" quotePrefix="0" xfId="0"/>
    <xf numFmtId="3" fontId="7" fillId="5" borderId="1" pivotButton="0" quotePrefix="0" xfId="0"/>
    <xf numFmtId="166" fontId="7" fillId="5" borderId="1" pivotButton="0" quotePrefix="0" xfId="0"/>
    <xf numFmtId="165" fontId="7" fillId="5" borderId="1" pivotButton="0" quotePrefix="0" xfId="0"/>
    <xf numFmtId="166" fontId="5" fillId="0" borderId="1" pivotButton="0" quotePrefix="0" xfId="0"/>
    <xf numFmtId="166" fontId="5" fillId="2" borderId="1" pivotButton="0" quotePrefix="0" xfId="0"/>
  </cellXfs>
  <cellStyles count="1">
    <cellStyle name="Normal" xfId="0" builtinId="0" hidden="0"/>
  </cellStyles>
  <dxfs count="2">
    <dxf>
      <font>
        <name val="맑은 고딕"/>
        <b val="1"/>
        <color rgb="009C0006"/>
        <sz val="10"/>
      </font>
      <fill>
        <patternFill patternType="solid">
          <fgColor rgb="00FFC7CE"/>
        </patternFill>
      </fill>
    </dxf>
    <dxf>
      <font>
        <name val="맑은 고딕"/>
        <color rgb="00C55A11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USD / 원 월평균</a:t>
            </a:r>
          </a:p>
        </rich>
      </tx>
    </title>
    <plotArea>
      <lineChart>
        <grouping val="standard"/>
        <ser>
          <idx val="0"/>
          <order val="0"/>
          <tx>
            <strRef>
              <f>'월평균환율'!B4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'월평균환율'!$A$5:$A$10</f>
            </numRef>
          </cat>
          <val>
            <numRef>
              <f>'월평균환율'!$B$5:$B$10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CNY / 원 월평균</a:t>
            </a:r>
          </a:p>
        </rich>
      </tx>
    </title>
    <plotArea>
      <lineChart>
        <grouping val="standard"/>
        <ser>
          <idx val="0"/>
          <order val="0"/>
          <tx>
            <strRef>
              <f>'월평균환율'!C4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'월평균환율'!$A$5:$A$10</f>
            </numRef>
          </cat>
          <val>
            <numRef>
              <f>'월평균환율'!$C$5:$C$10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안내</author>
  </authors>
  <commentList>
    <comment ref="B18" authorId="0" shapeId="0">
      <text>
        <t>원가 가산 30%: 입고원가 10,000원 → 판매가 13,000원 (판매가 대비 마진 23.1%)
판매가 마진 30%: 입고원가 10,000원 → 판매가 14,286원 (원가 대비 42.9%)
사내에서 쓰는 정의로 고정하세요.</t>
      </text>
    </comment>
    <comment ref="B25" authorId="0" shapeId="0">
      <text>
        <t>매출 대비: 판관비와 영업이익을 모두 '매출의 몇 %'로 봅니다.
  BEP가   = 매입원가 ÷ (1 − 판관비율)
  기준유통가 = 매입원가 ÷ (1 − 판관비율 − 영업이익률)
  이 방식에서만 BEP가 정확히 영업이익 0원이 되는 지점입니다.
원가 가산: 매입원가에 순서대로 곱합니다.
  BEP가   = 매입원가 × (1 + 판관비율)
  기준유통가 = BEP가 × (1 + 영업이익률)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58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21</row>
      <rowOff>0</rowOff>
    </from>
    <ext cx="558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6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1">
      <c r="B1" s="1" t="inlineStr">
        <is>
          <t>사용 안내</t>
        </is>
      </c>
    </row>
    <row r="2">
      <c r="B2" s="2" t="inlineStr"/>
    </row>
    <row r="3">
      <c r="B3" s="3" t="inlineStr">
        <is>
          <t>1. 매달 할 일 — 환율 갱신</t>
        </is>
      </c>
    </row>
    <row r="4">
      <c r="B4" s="2" t="inlineStr">
        <is>
          <t>① 서울외국환중개 월평균 매매기준율 페이지를 엽니다.</t>
        </is>
      </c>
    </row>
    <row r="5">
      <c r="B5" s="2" t="inlineStr">
        <is>
          <t xml:space="preserve">   http://www.smbs.biz/ExRate/MonAvgStdExRate.jsp</t>
        </is>
      </c>
    </row>
    <row r="6">
      <c r="B6" s="2" t="inlineStr">
        <is>
          <t>② 표에서 해당 월의 미국(USD)과 중국(CNY) 값을 확인합니다.</t>
        </is>
      </c>
    </row>
    <row r="7">
      <c r="B7" s="2" t="inlineStr">
        <is>
          <t>③ [월평균환율] 시트에 한 줄 추가합니다. 연월은 2026-08 처럼 텍스트로 입력하세요.</t>
        </is>
      </c>
    </row>
    <row r="8">
      <c r="B8" s="2" t="inlineStr">
        <is>
          <t>④ 끝입니다. 오늘이 9월이면 8월 값이 자동으로 잡힙니다.</t>
        </is>
      </c>
    </row>
    <row r="9">
      <c r="B9" s="2" t="inlineStr"/>
    </row>
    <row r="10">
      <c r="B10" s="3" t="inlineStr">
        <is>
          <t>2. 자동으로 받아오려면 — 파워쿼리 (Windows 엑셀)</t>
        </is>
      </c>
    </row>
    <row r="11">
      <c r="B11" s="2" t="inlineStr">
        <is>
          <t>① [데이터] 탭 → [데이터 가져오기] → [기타 원본에서] → [웹]</t>
        </is>
      </c>
    </row>
    <row r="12">
      <c r="B12" s="2" t="inlineStr">
        <is>
          <t>② 위 주소를 넣고 [확인] → 탐색 창에서 월평균 표를 고른 뒤 [데이터 변환]</t>
        </is>
      </c>
    </row>
    <row r="13">
      <c r="B13" s="2" t="inlineStr">
        <is>
          <t>③ 연월 · USD · CNY 열만 남기고, 연월을 텍스트로 바꾼 뒤 [닫기 및 로드]</t>
        </is>
      </c>
    </row>
    <row r="14">
      <c r="B14" s="2" t="inlineStr">
        <is>
          <t>④ 이후에는 [데이터] → [모두 새로 고침] 한 번이면 갱신됩니다.</t>
        </is>
      </c>
    </row>
    <row r="15">
      <c r="B15" s="4" t="inlineStr">
        <is>
          <t>※ 이 절차는 실제 사이트에서 확인하지 못했습니다. 사이트 표 구조에 따라 ③단계 열 이름이 다를 수 있고,</t>
        </is>
      </c>
    </row>
    <row r="16">
      <c r="B16" s="4" t="inlineStr">
        <is>
          <t xml:space="preserve">   맥 엑셀은 웹 커넥터 기능이 제한됩니다. 잘 안 되면 위 1번 수동 입력으로 충분합니다.</t>
        </is>
      </c>
    </row>
    <row r="17">
      <c r="B17" s="2" t="inlineStr"/>
    </row>
    <row r="18">
      <c r="B18" s="3" t="inlineStr">
        <is>
          <t>3. 계산 흐름</t>
        </is>
      </c>
    </row>
    <row r="19">
      <c r="B19" s="2" t="inlineStr">
        <is>
          <t>외화 단가 × 환율 = 원화 환산가</t>
        </is>
      </c>
    </row>
    <row r="20">
      <c r="B20" s="2" t="inlineStr">
        <is>
          <t>원화 환산가 × (1 + 부대비용률) = 입고원가</t>
        </is>
      </c>
    </row>
    <row r="21">
      <c r="B21" s="2" t="inlineStr">
        <is>
          <t>입고원가 × (1 + 이윤율)  ← 원가 가산 방식</t>
        </is>
      </c>
    </row>
    <row r="22">
      <c r="B22" s="2" t="inlineStr">
        <is>
          <t>입고원가 ÷ (1 − 이윤율)  ← 판매가 마진 방식</t>
        </is>
      </c>
    </row>
    <row r="23">
      <c r="B23" s="2" t="inlineStr">
        <is>
          <t>→ 절상 단위로 올림 = 판매단가</t>
        </is>
      </c>
    </row>
    <row r="24">
      <c r="B24" s="2" t="inlineStr"/>
    </row>
    <row r="25">
      <c r="B25" s="3" t="inlineStr">
        <is>
          <t>4. 이윤 30%의 두 가지 뜻 — 하나로 고정하세요</t>
        </is>
      </c>
    </row>
    <row r="26">
      <c r="B26" s="2" t="inlineStr">
        <is>
          <t>원가 가산 30%   : 입고원가 10,000원 → 판매가 13,000원 (판매가 대비 마진 23.1%)</t>
        </is>
      </c>
    </row>
    <row r="27">
      <c r="B27" s="2" t="inlineStr">
        <is>
          <t>판매가 마진 30% : 입고원가 10,000원 → 판매가 14,286원 (원가 대비 42.9%)</t>
        </is>
      </c>
    </row>
    <row r="28">
      <c r="B28" s="2" t="inlineStr">
        <is>
          <t>회계상 매출총이익률은 매출 기준이라, 원가에 30%를 붙이면 장부에는 23.1%로 찍힙니다.</t>
        </is>
      </c>
    </row>
    <row r="29">
      <c r="B29" s="2" t="inlineStr"/>
    </row>
    <row r="30">
      <c r="B30" s="3" t="inlineStr">
        <is>
          <t>5. 상품 판매가 (상품판매가 시트) — 수입품 · 국내구매품 유통</t>
        </is>
      </c>
    </row>
    <row r="31">
      <c r="B31" s="2" t="inlineStr">
        <is>
          <t>매입원가 → (판관비) → BEP 가격 → (영업이익) → 기준 유통가 → 영업이 최종 유통가 결정</t>
        </is>
      </c>
    </row>
    <row r="32">
      <c r="B32" s="2" t="inlineStr"/>
    </row>
    <row r="33">
      <c r="B33" s="2" t="inlineStr">
        <is>
          <t>① 매입원가</t>
        </is>
      </c>
    </row>
    <row r="34">
      <c r="B34" s="2" t="inlineStr">
        <is>
          <t xml:space="preserve">   수입품: 외화 단가 × 환율 × (1 + 수입 부대비용률)</t>
        </is>
      </c>
    </row>
    <row r="35">
      <c r="B35" s="2" t="inlineStr">
        <is>
          <t xml:space="preserve">   국내구매품: 원화 매입단가 × (1 + 국내 부대비용률)</t>
        </is>
      </c>
    </row>
    <row r="36">
      <c r="B36" s="2" t="inlineStr">
        <is>
          <t>② BEP 가격 — 팔아도 남지도 밑지지도 않는 가격. 이 밑으로 내려가면 손해입니다.</t>
        </is>
      </c>
    </row>
    <row r="37">
      <c r="B37" s="2" t="inlineStr">
        <is>
          <t xml:space="preserve">   매출 대비 방식: 매입원가 ÷ (1 − 판관비율)</t>
        </is>
      </c>
    </row>
    <row r="38">
      <c r="B38" s="2" t="inlineStr">
        <is>
          <t xml:space="preserve">   원가 가산 방식: 매입원가 × (1 + 판관비율)</t>
        </is>
      </c>
    </row>
    <row r="39">
      <c r="B39" s="2" t="inlineStr">
        <is>
          <t>③ 기준 유통가 — BEP에 목표 영업이익을 얹은 값. 영업에 전달하는 가격입니다.</t>
        </is>
      </c>
    </row>
    <row r="40">
      <c r="B40" s="2" t="inlineStr">
        <is>
          <t xml:space="preserve">   매출 대비 방식: 매입원가 ÷ (1 − 판관비율 − 영업이익률)</t>
        </is>
      </c>
    </row>
    <row r="41">
      <c r="B41" s="2" t="inlineStr">
        <is>
          <t xml:space="preserve">   원가 가산 방식: BEP 가격 × (1 + 영업이익률)</t>
        </is>
      </c>
    </row>
    <row r="42">
      <c r="B42" s="2" t="inlineStr">
        <is>
          <t>④ 최종 유통가 — 영업이 협상해 정한 값을 노란 칸(L열)에 적습니다.</t>
        </is>
      </c>
    </row>
    <row r="43">
      <c r="B43" s="2" t="inlineStr">
        <is>
          <t xml:space="preserve">   비워 두면 기준 유통가가 그대로 적용되고, 적어 넣으면 실제 영업이익률이 즉시 다시 계산됩니다.</t>
        </is>
      </c>
    </row>
    <row r="44">
      <c r="B44" s="2" t="inlineStr">
        <is>
          <t xml:space="preserve">   BEP보다 낮게 적으면 그 칸이 빨갛게 바뀝니다.</t>
        </is>
      </c>
    </row>
    <row r="45">
      <c r="B45" s="2" t="inlineStr"/>
    </row>
    <row r="46">
      <c r="B46" s="2" t="inlineStr">
        <is>
          <t>두 계산 방식의 차이 (매입원가 100,000원 · 판관비 25% · 영업이익 10% 기준)</t>
        </is>
      </c>
    </row>
    <row r="47">
      <c r="B47" s="2" t="inlineStr">
        <is>
          <t xml:space="preserve">   매출 대비: BEP 133,333원 → 기준 유통가 153,846원 (영업이익률 정확히 10%)</t>
        </is>
      </c>
    </row>
    <row r="48">
      <c r="B48" s="2" t="inlineStr">
        <is>
          <t xml:space="preserve">   원가 가산: BEP 125,000원 → 기준 유통가 137,500원 (실제 영업이익률 9.1%)</t>
        </is>
      </c>
    </row>
    <row r="49">
      <c r="B49" s="2" t="inlineStr">
        <is>
          <t xml:space="preserve">   BEP를 '영업이익 0원인 지점'으로 쓰시려면 매출 대비 방식이 맞습니다.</t>
        </is>
      </c>
    </row>
    <row r="50">
      <c r="B50" s="2" t="inlineStr"/>
    </row>
    <row r="51">
      <c r="B51" s="3" t="inlineStr">
        <is>
          <t>6. 두 판매가 시트의 차이</t>
        </is>
      </c>
    </row>
    <row r="52">
      <c r="B52" s="2" t="inlineStr">
        <is>
          <t>판매가산출 시트 : 수입 자재를 태성정밀에 공급하는 가격. 부대비용 + 이윤으로 단순 계산.</t>
        </is>
      </c>
    </row>
    <row r="53">
      <c r="B53" s="2" t="inlineStr">
        <is>
          <t>상품판매가 시트 : 수입품·국내구매품을 유통하는 가격. 판관비를 태워 BEP를 먼저 잡습니다.</t>
        </is>
      </c>
    </row>
    <row r="54">
      <c r="B54" s="2" t="inlineStr"/>
    </row>
    <row r="55">
      <c r="B55" s="3" t="inlineStr">
        <is>
          <t>7. 확인이 필요한 항목</t>
        </is>
      </c>
    </row>
    <row r="56">
      <c r="B56" s="2" t="inlineStr">
        <is>
          <t>· 부대비용 8%는 물품대에 일괄 적용됩니다. 관세는 HS코드별, 운임은 중량·부피 기준이라</t>
        </is>
      </c>
    </row>
    <row r="57">
      <c r="B57" s="2" t="inlineStr">
        <is>
          <t xml:space="preserve">  품목별 편차가 크면 통관비·운임을 실비로 분리하는 편이 정확합니다.</t>
        </is>
      </c>
    </row>
    <row r="58">
      <c r="B58" s="2" t="inlineStr">
        <is>
          <t>· 환율 기준 시점(매입일 / 통관 과세환율 / 결제일)을 정해야 재무 대사가 맞습니다.</t>
        </is>
      </c>
    </row>
    <row r="59">
      <c r="B59" s="2" t="inlineStr">
        <is>
          <t>· 판관비율 25%는 임의의 출발값입니다. 실제 손익계산서의 판관비 ÷ 매출액으로 바꿔 주세요.</t>
        </is>
      </c>
    </row>
    <row r="60">
      <c r="B60" s="2" t="inlineStr">
        <is>
          <t>· 판관비를 품목별로 배부할지(매출 비례 / 물량 비례) 정해 두면 품목별 H열로 조정할 수 있습니다.</t>
        </is>
      </c>
    </row>
    <row r="61">
      <c r="B61" s="2" t="inlineStr">
        <is>
          <t>· 이 파일의 환율과 품목은 모두 예시입니다. 실제 값으로 교체한 뒤 사용하세요.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8" customWidth="1" min="3" max="3"/>
  </cols>
  <sheetData>
    <row r="1">
      <c r="A1" s="1" t="inlineStr">
        <is>
          <t>수입자재 판매가 산출 — 설정</t>
        </is>
      </c>
    </row>
    <row r="2">
      <c r="A2" s="5" t="inlineStr">
        <is>
          <t>플로우텍 수입 → 태성정밀 공급 · 모든 금액 부가세 별도</t>
        </is>
      </c>
    </row>
    <row r="4">
      <c r="A4" s="3" t="inlineStr">
        <is>
          <t>■ 환율</t>
        </is>
      </c>
    </row>
    <row r="5">
      <c r="A5" s="2" t="inlineStr">
        <is>
          <t>기준 선택</t>
        </is>
      </c>
      <c r="B5" s="6" t="inlineStr">
        <is>
          <t>전월 평균</t>
        </is>
      </c>
      <c r="C5" s="5" t="inlineStr">
        <is>
          <t>전월 평균 / 당월 평균 / 직접 입력 중에서 고릅니다.</t>
        </is>
      </c>
    </row>
    <row r="6">
      <c r="A6" s="2" t="inlineStr">
        <is>
          <t>대상 월(날짜)</t>
        </is>
      </c>
      <c r="B6" s="7">
        <f>EOMONTH(TODAY(),IF($B$5="당월 평균",0,-1))</f>
        <v/>
      </c>
      <c r="C6" s="5" t="inlineStr">
        <is>
          <t>오늘 날짜에서 자동 계산됩니다. 손대지 마세요.</t>
        </is>
      </c>
    </row>
    <row r="7">
      <c r="A7" s="2" t="inlineStr">
        <is>
          <t>적용 연월</t>
        </is>
      </c>
      <c r="B7" s="8">
        <f>IF($B$5="직접 입력",$B$8,RIGHT("0000"&amp;YEAR($B$6),4)&amp;"-"&amp;RIGHT("00"&amp;MONTH($B$6),2))</f>
        <v/>
      </c>
      <c r="C7" s="5" t="inlineStr">
        <is>
          <t>월평균환율 시트에서 이 연월을 찾아 환율을 가져옵니다.</t>
        </is>
      </c>
    </row>
    <row r="8">
      <c r="A8" s="2" t="inlineStr">
        <is>
          <t>직접 지정 연월</t>
        </is>
      </c>
      <c r="B8" s="9" t="inlineStr">
        <is>
          <t>2026-08</t>
        </is>
      </c>
      <c r="C8" s="5" t="inlineStr">
        <is>
          <t>기준 선택이 "직접 입력"일 때만 사용합니다. YYYY-MM 형식.</t>
        </is>
      </c>
    </row>
    <row r="10">
      <c r="A10" s="10" t="inlineStr">
        <is>
          <t>적용 USD / 원</t>
        </is>
      </c>
      <c r="B10" s="11">
        <f>IF($B$5="직접 입력",$B$12,IFERROR(INDEX(월평균환율!$B$5:$B$100,MATCH($B$7,월평균환율!$A$5:$A$100,0)),$B$12))</f>
        <v/>
      </c>
      <c r="C10" s="5" t="inlineStr">
        <is>
          <t>월평균환율 시트에 해당 연월이 없으면 아래 수동 환율을 씁니다.</t>
        </is>
      </c>
    </row>
    <row r="11">
      <c r="A11" s="10" t="inlineStr">
        <is>
          <t>적용 CNY / 원</t>
        </is>
      </c>
      <c r="B11" s="11">
        <f>IF($B$5="직접 입력",$B$13,IFERROR(INDEX(월평균환율!$C$5:$C$100,MATCH($B$7,월평균환율!$A$5:$A$100,0)),$B$13))</f>
        <v/>
      </c>
    </row>
    <row r="12">
      <c r="A12" s="2" t="inlineStr">
        <is>
          <t>수동 USD / 원</t>
        </is>
      </c>
      <c r="B12" s="12" t="n">
        <v>1380</v>
      </c>
      <c r="C12" s="4" t="inlineStr">
        <is>
          <t>예비값입니다. 실제 환율로 바꿔 주세요.</t>
        </is>
      </c>
    </row>
    <row r="13">
      <c r="A13" s="2" t="inlineStr">
        <is>
          <t>수동 CNY / 원</t>
        </is>
      </c>
      <c r="B13" s="12" t="n">
        <v>190</v>
      </c>
      <c r="C13" s="4" t="inlineStr">
        <is>
          <t>예비값입니다. 실제 환율로 바꿔 주세요.</t>
        </is>
      </c>
    </row>
    <row r="15">
      <c r="A15" s="3" t="inlineStr">
        <is>
          <t>■ 원가 · 이윤</t>
        </is>
      </c>
    </row>
    <row r="16">
      <c r="A16" s="2" t="inlineStr">
        <is>
          <t>부대비용률</t>
        </is>
      </c>
      <c r="B16" s="13" t="n">
        <v>0.08</v>
      </c>
      <c r="C16" s="5" t="inlineStr">
        <is>
          <t>운임 · 관세 · 통관수수료 · 창고/내륙운송 · 환리스크를 통으로 잡은 비율.</t>
        </is>
      </c>
    </row>
    <row r="17">
      <c r="A17" s="2" t="inlineStr">
        <is>
          <t>이윤율</t>
        </is>
      </c>
      <c r="B17" s="13" t="n">
        <v>0.3</v>
      </c>
      <c r="C17" s="5" t="inlineStr">
        <is>
          <t>품목별로 다르게 주려면 판매가산출 시트 G열에 개별 입력하세요.</t>
        </is>
      </c>
    </row>
    <row r="18">
      <c r="A18" s="2" t="inlineStr">
        <is>
          <t>계산 방식</t>
        </is>
      </c>
      <c r="B18" s="6" t="inlineStr">
        <is>
          <t>원가 가산</t>
        </is>
      </c>
      <c r="C18" s="5" t="inlineStr">
        <is>
          <t>"원가 가산" = 입고원가 × 1.30 · "판매가 마진" = 입고원가 ÷ 0.70</t>
        </is>
      </c>
    </row>
    <row r="19">
      <c r="A19" s="2" t="inlineStr">
        <is>
          <t>판매단가 절상 단위</t>
        </is>
      </c>
      <c r="B19" s="14" t="n">
        <v>10</v>
      </c>
      <c r="C19" s="5" t="inlineStr">
        <is>
          <t>1이면 반올림, 10/100/1000이면 그 단위로 올림 처리합니다.</t>
        </is>
      </c>
    </row>
    <row r="21">
      <c r="A21" s="3" t="inlineStr">
        <is>
          <t>■ 상품 판매가 (수입품 · 국내구매품 유통)</t>
        </is>
      </c>
    </row>
    <row r="22">
      <c r="A22" s="2" t="inlineStr">
        <is>
          <t>국내 부대비용률</t>
        </is>
      </c>
      <c r="B22" s="13" t="n">
        <v>0</v>
      </c>
      <c r="C22" s="5" t="inlineStr">
        <is>
          <t>국내구매품의 운반비 · 검수비 등. 없으면 0%.</t>
        </is>
      </c>
    </row>
    <row r="23">
      <c r="A23" s="2" t="inlineStr">
        <is>
          <t>판관비율</t>
        </is>
      </c>
      <c r="B23" s="13" t="n">
        <v>0.25</v>
      </c>
      <c r="C23" s="5" t="inlineStr">
        <is>
          <t>인건비 · 임차료 · 물류 · 판촉 등 판매관리비. 실제 손익계산서 비율로 바꾸세요.</t>
        </is>
      </c>
    </row>
    <row r="24">
      <c r="A24" s="2" t="inlineStr">
        <is>
          <t>영업이익률</t>
        </is>
      </c>
      <c r="B24" s="13" t="n">
        <v>0.1</v>
      </c>
      <c r="C24" s="5" t="inlineStr">
        <is>
          <t>기준 유통가에 얹을 목표 영업이익.</t>
        </is>
      </c>
    </row>
    <row r="25">
      <c r="A25" s="2" t="inlineStr">
        <is>
          <t>상품가 계산 방식</t>
        </is>
      </c>
      <c r="B25" s="6" t="inlineStr">
        <is>
          <t>매출 대비</t>
        </is>
      </c>
      <c r="C25" s="5" t="inlineStr">
        <is>
          <t>"매출 대비" = 매입원가 ÷ (1 − 판관비율 − 영업이익률) · "원가 가산" = 매입원가 × (1+판관비율) × (1+영업이익률)</t>
        </is>
      </c>
    </row>
    <row r="26">
      <c r="A26" s="2" t="inlineStr">
        <is>
          <t>기준유통가 절상 단위</t>
        </is>
      </c>
      <c r="B26" s="14" t="n">
        <v>100</v>
      </c>
      <c r="C26" s="5" t="inlineStr">
        <is>
          <t>1이면 반올림, 100/1000이면 그 단위로 올림.</t>
        </is>
      </c>
    </row>
    <row r="28">
      <c r="A28" s="3" t="inlineStr">
        <is>
          <t>■ 범례</t>
        </is>
      </c>
    </row>
    <row r="29">
      <c r="A29" s="15" t="inlineStr">
        <is>
          <t>파란 글씨</t>
        </is>
      </c>
      <c r="B29" s="5" t="inlineStr">
        <is>
          <t>직접 입력하는 칸</t>
        </is>
      </c>
    </row>
    <row r="30">
      <c r="A30" s="16" t="inlineStr">
        <is>
          <t>노란 채우기</t>
        </is>
      </c>
      <c r="B30" s="5" t="inlineStr">
        <is>
          <t>반드시 확인하고 채워야 하는 칸</t>
        </is>
      </c>
    </row>
    <row r="31">
      <c r="A31" s="2" t="inlineStr">
        <is>
          <t>검정 글씨</t>
        </is>
      </c>
      <c r="B31" s="5" t="inlineStr">
        <is>
          <t>수식 — 손대지 마세요</t>
        </is>
      </c>
    </row>
    <row r="32">
      <c r="A32" s="17" t="inlineStr">
        <is>
          <t>초록 글씨</t>
        </is>
      </c>
      <c r="B32" s="5" t="inlineStr">
        <is>
          <t>다른 시트를 참조하는 수식</t>
        </is>
      </c>
    </row>
  </sheetData>
  <dataValidations count="3">
    <dataValidation sqref="B5" showDropDown="0" showInputMessage="0" showErrorMessage="0" allowBlank="0" type="list">
      <formula1>"전월 평균,당월 평균,직접 입력"</formula1>
    </dataValidation>
    <dataValidation sqref="B18" showDropDown="0" showInputMessage="0" showErrorMessage="0" allowBlank="0" type="list">
      <formula1>"원가 가산,판매가 마진"</formula1>
    </dataValidation>
    <dataValidation sqref="B25" showDropDown="0" showInputMessage="0" showErrorMessage="0" allowBlank="0" type="list">
      <formula1>"매출 대비,원가 가산"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34" customWidth="1" min="4" max="4"/>
  </cols>
  <sheetData>
    <row r="1">
      <c r="A1" s="1" t="inlineStr">
        <is>
          <t>월평균 매매기준율</t>
        </is>
      </c>
    </row>
    <row r="2">
      <c r="A2" s="5" t="inlineStr">
        <is>
          <t>출처: 서울외국환중개 http://www.smbs.biz/ExRate/MonAvgStdExRate.jsp — 매달 갱신하세요.</t>
        </is>
      </c>
    </row>
    <row r="4">
      <c r="A4" s="18" t="inlineStr">
        <is>
          <t>연월</t>
        </is>
      </c>
      <c r="B4" s="18" t="inlineStr">
        <is>
          <t>USD / 원</t>
        </is>
      </c>
      <c r="C4" s="18" t="inlineStr">
        <is>
          <t>CNY / 원</t>
        </is>
      </c>
    </row>
    <row r="5">
      <c r="A5" s="19" t="inlineStr">
        <is>
          <t>2026-03</t>
        </is>
      </c>
      <c r="B5" s="20" t="n">
        <v>1368.15</v>
      </c>
      <c r="C5" s="20" t="n">
        <v>191.55</v>
      </c>
      <c r="D5" s="4" t="inlineStr">
        <is>
          <t>예시 값 — 실제 값으로 교체</t>
        </is>
      </c>
    </row>
    <row r="6">
      <c r="A6" s="19" t="inlineStr">
        <is>
          <t>2026-04</t>
        </is>
      </c>
      <c r="B6" s="20" t="n">
        <v>1342</v>
      </c>
      <c r="C6" s="20" t="n">
        <v>186.05</v>
      </c>
      <c r="D6" s="4" t="inlineStr">
        <is>
          <t>예시 값 — 실제 값으로 교체</t>
        </is>
      </c>
    </row>
    <row r="7">
      <c r="A7" s="19" t="inlineStr">
        <is>
          <t>2026-05</t>
        </is>
      </c>
      <c r="B7" s="20" t="n">
        <v>1350.11</v>
      </c>
      <c r="C7" s="20" t="n">
        <v>187.2</v>
      </c>
      <c r="D7" s="4" t="inlineStr">
        <is>
          <t>예시 값 — 실제 값으로 교체</t>
        </is>
      </c>
    </row>
    <row r="8">
      <c r="A8" s="19" t="inlineStr">
        <is>
          <t>2026-06</t>
        </is>
      </c>
      <c r="B8" s="20" t="n">
        <v>1364.88</v>
      </c>
      <c r="C8" s="20" t="n">
        <v>189.47</v>
      </c>
      <c r="D8" s="4" t="inlineStr">
        <is>
          <t>예시 값 — 실제 값으로 교체</t>
        </is>
      </c>
    </row>
    <row r="9">
      <c r="A9" s="19" t="inlineStr">
        <is>
          <t>2026-07</t>
        </is>
      </c>
      <c r="B9" s="20" t="n">
        <v>1371.02</v>
      </c>
      <c r="C9" s="20" t="n">
        <v>190.88</v>
      </c>
      <c r="D9" s="4" t="inlineStr">
        <is>
          <t>예시 값 — 실제 값으로 교체</t>
        </is>
      </c>
    </row>
    <row r="10">
      <c r="A10" s="19" t="inlineStr">
        <is>
          <t>2026-08</t>
        </is>
      </c>
      <c r="B10" s="20" t="n">
        <v>1382.45</v>
      </c>
      <c r="C10" s="20" t="n">
        <v>192.36</v>
      </c>
      <c r="D10" s="4" t="inlineStr">
        <is>
          <t>예시 값 — 실제 값으로 교체</t>
        </is>
      </c>
    </row>
    <row r="11">
      <c r="A11" s="21" t="n"/>
      <c r="B11" s="22" t="n"/>
      <c r="C11" s="22" t="n"/>
    </row>
    <row r="12">
      <c r="A12" s="21" t="n"/>
      <c r="B12" s="22" t="n"/>
      <c r="C12" s="22" t="n"/>
    </row>
    <row r="13">
      <c r="A13" s="21" t="n"/>
      <c r="B13" s="22" t="n"/>
      <c r="C13" s="22" t="n"/>
    </row>
    <row r="14">
      <c r="A14" s="21" t="n"/>
      <c r="B14" s="22" t="n"/>
      <c r="C14" s="22" t="n"/>
    </row>
    <row r="15">
      <c r="A15" s="21" t="n"/>
      <c r="B15" s="22" t="n"/>
      <c r="C15" s="22" t="n"/>
    </row>
    <row r="16">
      <c r="A16" s="21" t="n"/>
      <c r="B16" s="22" t="n"/>
      <c r="C16" s="22" t="n"/>
    </row>
    <row r="17">
      <c r="A17" s="21" t="n"/>
      <c r="B17" s="22" t="n"/>
      <c r="C17" s="22" t="n"/>
    </row>
    <row r="18">
      <c r="A18" s="21" t="n"/>
      <c r="B18" s="22" t="n"/>
      <c r="C18" s="22" t="n"/>
    </row>
    <row r="19">
      <c r="A19" s="21" t="n"/>
      <c r="B19" s="22" t="n"/>
      <c r="C19" s="22" t="n"/>
    </row>
    <row r="20">
      <c r="A20" s="21" t="n"/>
      <c r="B20" s="22" t="n"/>
      <c r="C20" s="22" t="n"/>
    </row>
    <row r="21">
      <c r="A21" s="21" t="n"/>
      <c r="B21" s="22" t="n"/>
      <c r="C21" s="22" t="n"/>
    </row>
    <row r="22">
      <c r="A22" s="21" t="n"/>
      <c r="B22" s="22" t="n"/>
      <c r="C22" s="22" t="n"/>
    </row>
    <row r="23">
      <c r="A23" s="21" t="n"/>
      <c r="B23" s="22" t="n"/>
      <c r="C23" s="22" t="n"/>
    </row>
    <row r="24">
      <c r="A24" s="21" t="n"/>
      <c r="B24" s="22" t="n"/>
      <c r="C24" s="22" t="n"/>
    </row>
    <row r="25">
      <c r="A25" s="21" t="n"/>
      <c r="B25" s="22" t="n"/>
      <c r="C25" s="22" t="n"/>
    </row>
    <row r="26">
      <c r="A26" s="21" t="n"/>
      <c r="B26" s="22" t="n"/>
      <c r="C26" s="22" t="n"/>
    </row>
    <row r="27">
      <c r="A27" s="21" t="n"/>
      <c r="B27" s="22" t="n"/>
      <c r="C27" s="22" t="n"/>
    </row>
    <row r="28">
      <c r="A28" s="21" t="n"/>
      <c r="B28" s="22" t="n"/>
      <c r="C28" s="22" t="n"/>
    </row>
    <row r="30">
      <c r="A30" s="4" t="inlineStr">
        <is>
          <t>연월은 반드시 텍스트 YYYY-MM 형식으로 넣으세요. 날짜로 바뀌면 설정 시트가 값을 찾지 못합니다.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9" customWidth="1" min="4" max="4"/>
    <col width="13" customWidth="1" min="5" max="5"/>
    <col width="13" customWidth="1" min="6" max="6"/>
    <col width="9" customWidth="1" min="7" max="7"/>
    <col width="9" customWidth="1" min="8" max="8"/>
    <col width="13" customWidth="1" min="9" max="9"/>
    <col width="12" customWidth="1" min="10" max="10"/>
    <col width="9" customWidth="1" min="11" max="11"/>
    <col width="15" customWidth="1" min="12" max="12"/>
    <col width="15" customWidth="1" min="13" max="13"/>
  </cols>
  <sheetData>
    <row r="1">
      <c r="A1" s="1" t="inlineStr">
        <is>
          <t>자재 판매가 산출 — 태성정밀 공급</t>
        </is>
      </c>
    </row>
    <row r="2">
      <c r="A2" s="17">
        <f>" 적용 환율: "&amp;설정!$B$7&amp;"  ·  USD "&amp;TEXT(설정!$B$10,"#,##0.00")&amp;"  ·  CNY "&amp;TEXT(설정!$B$11,"#,##0.00")&amp;"  ·  부대비용 "&amp;TEXT(설정!$B$16,"0.0%")&amp;"  ·  "&amp;설정!$B$18&amp;" "&amp;TEXT(설정!$B$17,"0.0%")</f>
        <v/>
      </c>
    </row>
    <row r="4" ht="30" customHeight="1">
      <c r="A4" s="23" t="inlineStr">
        <is>
          <t>품목</t>
        </is>
      </c>
      <c r="B4" s="23" t="inlineStr">
        <is>
          <t>통화</t>
        </is>
      </c>
      <c r="C4" s="23" t="inlineStr">
        <is>
          <t>외화 단가</t>
        </is>
      </c>
      <c r="D4" s="23" t="inlineStr">
        <is>
          <t>수량</t>
        </is>
      </c>
      <c r="E4" s="23" t="inlineStr">
        <is>
          <t>원화 환산</t>
        </is>
      </c>
      <c r="F4" s="23" t="inlineStr">
        <is>
          <t>입고원가 /개</t>
        </is>
      </c>
      <c r="G4" s="23" t="inlineStr">
        <is>
          <t>이윤율</t>
        </is>
      </c>
      <c r="H4" s="23" t="inlineStr">
        <is>
          <t>적용 이윤율</t>
        </is>
      </c>
      <c r="I4" s="23" t="inlineStr">
        <is>
          <t>판매단가 /개</t>
        </is>
      </c>
      <c r="J4" s="23" t="inlineStr">
        <is>
          <t>개당 마진</t>
        </is>
      </c>
      <c r="K4" s="23" t="inlineStr">
        <is>
          <t>마진율</t>
        </is>
      </c>
      <c r="L4" s="23" t="inlineStr">
        <is>
          <t>판매 합계</t>
        </is>
      </c>
      <c r="M4" s="23" t="inlineStr">
        <is>
          <t>원가 합계</t>
        </is>
      </c>
    </row>
    <row r="5">
      <c r="A5" s="24" t="inlineStr">
        <is>
          <t>SUS304 환봉 ø25</t>
        </is>
      </c>
      <c r="B5" s="25" t="inlineStr">
        <is>
          <t>CNY</t>
        </is>
      </c>
      <c r="C5" s="22" t="n">
        <v>42.5</v>
      </c>
      <c r="D5" s="26" t="n">
        <v>120</v>
      </c>
      <c r="E5" s="27">
        <f>IF(N($C5)=0,"",$C5*IF($B5="USD",설정!$B$10,IF($B5="CNY",설정!$B$11,1)))</f>
        <v/>
      </c>
      <c r="F5" s="28">
        <f>IF($E5="","",$E5*(1+설정!$B$16))</f>
        <v/>
      </c>
      <c r="G5" s="29" t="n"/>
      <c r="H5" s="30">
        <f>IF($E5="","",IF($G5="",설정!$B$17,$G5))</f>
        <v/>
      </c>
      <c r="I5" s="28">
        <f>IF($F5="","",IFERROR(IF(설정!$B$19&lt;=1,ROUND(IF(설정!$B$18="판매가 마진",$F5/(1-$H5),$F5*(1+$H5)),0),CEILING(IF(설정!$B$18="판매가 마진",$F5/(1-$H5),$F5*(1+$H5)),설정!$B$19)),0))</f>
        <v/>
      </c>
      <c r="J5" s="28">
        <f>IF($I5="","",$I5-$F5)</f>
        <v/>
      </c>
      <c r="K5" s="30">
        <f>IF(N($I5)=0,"",$J5/$I5)</f>
        <v/>
      </c>
      <c r="L5" s="28">
        <f>IF($I5="","",$I5*$D5)</f>
        <v/>
      </c>
      <c r="M5" s="28">
        <f>IF($F5="","",$F5*$D5)</f>
        <v/>
      </c>
    </row>
    <row r="6">
      <c r="A6" s="24" t="inlineStr">
        <is>
          <t>SUS316L 파이프 1/2"</t>
        </is>
      </c>
      <c r="B6" s="25" t="inlineStr">
        <is>
          <t>CNY</t>
        </is>
      </c>
      <c r="C6" s="22" t="n">
        <v>78</v>
      </c>
      <c r="D6" s="26" t="n">
        <v>60</v>
      </c>
      <c r="E6" s="27">
        <f>IF(N($C6)=0,"",$C6*IF($B6="USD",설정!$B$10,IF($B6="CNY",설정!$B$11,1)))</f>
        <v/>
      </c>
      <c r="F6" s="28">
        <f>IF($E6="","",$E6*(1+설정!$B$16))</f>
        <v/>
      </c>
      <c r="G6" s="29" t="n"/>
      <c r="H6" s="30">
        <f>IF($E6="","",IF($G6="",설정!$B$17,$G6))</f>
        <v/>
      </c>
      <c r="I6" s="28">
        <f>IF($F6="","",IFERROR(IF(설정!$B$19&lt;=1,ROUND(IF(설정!$B$18="판매가 마진",$F6/(1-$H6),$F6*(1+$H6)),0),CEILING(IF(설정!$B$18="판매가 마진",$F6/(1-$H6),$F6*(1+$H6)),설정!$B$19)),0))</f>
        <v/>
      </c>
      <c r="J6" s="28">
        <f>IF($I6="","",$I6-$F6)</f>
        <v/>
      </c>
      <c r="K6" s="30">
        <f>IF(N($I6)=0,"",$J6/$I6)</f>
        <v/>
      </c>
      <c r="L6" s="28">
        <f>IF($I6="","",$I6*$D6)</f>
        <v/>
      </c>
      <c r="M6" s="28">
        <f>IF($F6="","",$F6*$D6)</f>
        <v/>
      </c>
    </row>
    <row r="7">
      <c r="A7" s="24" t="inlineStr">
        <is>
          <t>황동봉 C3604 ø20</t>
        </is>
      </c>
      <c r="B7" s="25" t="inlineStr">
        <is>
          <t>CNY</t>
        </is>
      </c>
      <c r="C7" s="22" t="n">
        <v>36.8</v>
      </c>
      <c r="D7" s="26" t="n">
        <v>200</v>
      </c>
      <c r="E7" s="27">
        <f>IF(N($C7)=0,"",$C7*IF($B7="USD",설정!$B$10,IF($B7="CNY",설정!$B$11,1)))</f>
        <v/>
      </c>
      <c r="F7" s="28">
        <f>IF($E7="","",$E7*(1+설정!$B$16))</f>
        <v/>
      </c>
      <c r="G7" s="29" t="n"/>
      <c r="H7" s="30">
        <f>IF($E7="","",IF($G7="",설정!$B$17,$G7))</f>
        <v/>
      </c>
      <c r="I7" s="28">
        <f>IF($F7="","",IFERROR(IF(설정!$B$19&lt;=1,ROUND(IF(설정!$B$18="판매가 마진",$F7/(1-$H7),$F7*(1+$H7)),0),CEILING(IF(설정!$B$18="판매가 마진",$F7/(1-$H7),$F7*(1+$H7)),설정!$B$19)),0))</f>
        <v/>
      </c>
      <c r="J7" s="28">
        <f>IF($I7="","",$I7-$F7)</f>
        <v/>
      </c>
      <c r="K7" s="30">
        <f>IF(N($I7)=0,"",$J7/$I7)</f>
        <v/>
      </c>
      <c r="L7" s="28">
        <f>IF($I7="","",$I7*$D7)</f>
        <v/>
      </c>
      <c r="M7" s="28">
        <f>IF($F7="","",$F7*$D7)</f>
        <v/>
      </c>
    </row>
    <row r="8">
      <c r="A8" s="24" t="inlineStr">
        <is>
          <t>알루미늄 빌렛 6061-T6</t>
        </is>
      </c>
      <c r="B8" s="25" t="inlineStr">
        <is>
          <t>USD</t>
        </is>
      </c>
      <c r="C8" s="22" t="n">
        <v>9.4</v>
      </c>
      <c r="D8" s="26" t="n">
        <v>150</v>
      </c>
      <c r="E8" s="27">
        <f>IF(N($C8)=0,"",$C8*IF($B8="USD",설정!$B$10,IF($B8="CNY",설정!$B$11,1)))</f>
        <v/>
      </c>
      <c r="F8" s="28">
        <f>IF($E8="","",$E8*(1+설정!$B$16))</f>
        <v/>
      </c>
      <c r="G8" s="29" t="n"/>
      <c r="H8" s="30">
        <f>IF($E8="","",IF($G8="",설정!$B$17,$G8))</f>
        <v/>
      </c>
      <c r="I8" s="28">
        <f>IF($F8="","",IFERROR(IF(설정!$B$19&lt;=1,ROUND(IF(설정!$B$18="판매가 마진",$F8/(1-$H8),$F8*(1+$H8)),0),CEILING(IF(설정!$B$18="판매가 마진",$F8/(1-$H8),$F8*(1+$H8)),설정!$B$19)),0))</f>
        <v/>
      </c>
      <c r="J8" s="28">
        <f>IF($I8="","",$I8-$F8)</f>
        <v/>
      </c>
      <c r="K8" s="30">
        <f>IF(N($I8)=0,"",$J8/$I8)</f>
        <v/>
      </c>
      <c r="L8" s="28">
        <f>IF($I8="","",$I8*$D8)</f>
        <v/>
      </c>
      <c r="M8" s="28">
        <f>IF($F8="","",$F8*$D8)</f>
        <v/>
      </c>
    </row>
    <row r="9">
      <c r="A9" s="24" t="inlineStr">
        <is>
          <t>유압 피팅 어댑터 PT1/4</t>
        </is>
      </c>
      <c r="B9" s="25" t="inlineStr">
        <is>
          <t>USD</t>
        </is>
      </c>
      <c r="C9" s="22" t="n">
        <v>3.15</v>
      </c>
      <c r="D9" s="26" t="n">
        <v>800</v>
      </c>
      <c r="E9" s="27">
        <f>IF(N($C9)=0,"",$C9*IF($B9="USD",설정!$B$10,IF($B9="CNY",설정!$B$11,1)))</f>
        <v/>
      </c>
      <c r="F9" s="28">
        <f>IF($E9="","",$E9*(1+설정!$B$16))</f>
        <v/>
      </c>
      <c r="G9" s="29" t="n">
        <v>0.35</v>
      </c>
      <c r="H9" s="30">
        <f>IF($E9="","",IF($G9="",설정!$B$17,$G9))</f>
        <v/>
      </c>
      <c r="I9" s="28">
        <f>IF($F9="","",IFERROR(IF(설정!$B$19&lt;=1,ROUND(IF(설정!$B$18="판매가 마진",$F9/(1-$H9),$F9*(1+$H9)),0),CEILING(IF(설정!$B$18="판매가 마진",$F9/(1-$H9),$F9*(1+$H9)),설정!$B$19)),0))</f>
        <v/>
      </c>
      <c r="J9" s="28">
        <f>IF($I9="","",$I9-$F9)</f>
        <v/>
      </c>
      <c r="K9" s="30">
        <f>IF(N($I9)=0,"",$J9/$I9)</f>
        <v/>
      </c>
      <c r="L9" s="28">
        <f>IF($I9="","",$I9*$D9)</f>
        <v/>
      </c>
      <c r="M9" s="28">
        <f>IF($F9="","",$F9*$D9)</f>
        <v/>
      </c>
    </row>
    <row r="10">
      <c r="A10" s="24" t="inlineStr">
        <is>
          <t>O-링 NBR P-24 (100EA)</t>
        </is>
      </c>
      <c r="B10" s="25" t="inlineStr">
        <is>
          <t>CNY</t>
        </is>
      </c>
      <c r="C10" s="22" t="n">
        <v>11.2</v>
      </c>
      <c r="D10" s="26" t="n">
        <v>40</v>
      </c>
      <c r="E10" s="27">
        <f>IF(N($C10)=0,"",$C10*IF($B10="USD",설정!$B$10,IF($B10="CNY",설정!$B$11,1)))</f>
        <v/>
      </c>
      <c r="F10" s="28">
        <f>IF($E10="","",$E10*(1+설정!$B$16))</f>
        <v/>
      </c>
      <c r="G10" s="29" t="n"/>
      <c r="H10" s="30">
        <f>IF($E10="","",IF($G10="",설정!$B$17,$G10))</f>
        <v/>
      </c>
      <c r="I10" s="28">
        <f>IF($F10="","",IFERROR(IF(설정!$B$19&lt;=1,ROUND(IF(설정!$B$18="판매가 마진",$F10/(1-$H10),$F10*(1+$H10)),0),CEILING(IF(설정!$B$18="판매가 마진",$F10/(1-$H10),$F10*(1+$H10)),설정!$B$19)),0))</f>
        <v/>
      </c>
      <c r="J10" s="28">
        <f>IF($I10="","",$I10-$F10)</f>
        <v/>
      </c>
      <c r="K10" s="30">
        <f>IF(N($I10)=0,"",$J10/$I10)</f>
        <v/>
      </c>
      <c r="L10" s="28">
        <f>IF($I10="","",$I10*$D10)</f>
        <v/>
      </c>
      <c r="M10" s="28">
        <f>IF($F10="","",$F10*$D10)</f>
        <v/>
      </c>
    </row>
    <row r="11">
      <c r="A11" s="24" t="n"/>
      <c r="B11" s="25" t="n"/>
      <c r="C11" s="22" t="n"/>
      <c r="D11" s="26" t="n"/>
      <c r="E11" s="27">
        <f>IF(N($C11)=0,"",$C11*IF($B11="USD",설정!$B$10,IF($B11="CNY",설정!$B$11,1)))</f>
        <v/>
      </c>
      <c r="F11" s="28">
        <f>IF($E11="","",$E11*(1+설정!$B$16))</f>
        <v/>
      </c>
      <c r="G11" s="29" t="n"/>
      <c r="H11" s="30">
        <f>IF($E11="","",IF($G11="",설정!$B$17,$G11))</f>
        <v/>
      </c>
      <c r="I11" s="28">
        <f>IF($F11="","",IFERROR(IF(설정!$B$19&lt;=1,ROUND(IF(설정!$B$18="판매가 마진",$F11/(1-$H11),$F11*(1+$H11)),0),CEILING(IF(설정!$B$18="판매가 마진",$F11/(1-$H11),$F11*(1+$H11)),설정!$B$19)),0))</f>
        <v/>
      </c>
      <c r="J11" s="28">
        <f>IF($I11="","",$I11-$F11)</f>
        <v/>
      </c>
      <c r="K11" s="30">
        <f>IF(N($I11)=0,"",$J11/$I11)</f>
        <v/>
      </c>
      <c r="L11" s="28">
        <f>IF($I11="","",$I11*$D11)</f>
        <v/>
      </c>
      <c r="M11" s="28">
        <f>IF($F11="","",$F11*$D11)</f>
        <v/>
      </c>
    </row>
    <row r="12">
      <c r="A12" s="24" t="n"/>
      <c r="B12" s="25" t="n"/>
      <c r="C12" s="22" t="n"/>
      <c r="D12" s="26" t="n"/>
      <c r="E12" s="27">
        <f>IF(N($C12)=0,"",$C12*IF($B12="USD",설정!$B$10,IF($B12="CNY",설정!$B$11,1)))</f>
        <v/>
      </c>
      <c r="F12" s="28">
        <f>IF($E12="","",$E12*(1+설정!$B$16))</f>
        <v/>
      </c>
      <c r="G12" s="29" t="n"/>
      <c r="H12" s="30">
        <f>IF($E12="","",IF($G12="",설정!$B$17,$G12))</f>
        <v/>
      </c>
      <c r="I12" s="28">
        <f>IF($F12="","",IFERROR(IF(설정!$B$19&lt;=1,ROUND(IF(설정!$B$18="판매가 마진",$F12/(1-$H12),$F12*(1+$H12)),0),CEILING(IF(설정!$B$18="판매가 마진",$F12/(1-$H12),$F12*(1+$H12)),설정!$B$19)),0))</f>
        <v/>
      </c>
      <c r="J12" s="28">
        <f>IF($I12="","",$I12-$F12)</f>
        <v/>
      </c>
      <c r="K12" s="30">
        <f>IF(N($I12)=0,"",$J12/$I12)</f>
        <v/>
      </c>
      <c r="L12" s="28">
        <f>IF($I12="","",$I12*$D12)</f>
        <v/>
      </c>
      <c r="M12" s="28">
        <f>IF($F12="","",$F12*$D12)</f>
        <v/>
      </c>
    </row>
    <row r="13">
      <c r="A13" s="24" t="n"/>
      <c r="B13" s="25" t="n"/>
      <c r="C13" s="22" t="n"/>
      <c r="D13" s="26" t="n"/>
      <c r="E13" s="27">
        <f>IF(N($C13)=0,"",$C13*IF($B13="USD",설정!$B$10,IF($B13="CNY",설정!$B$11,1)))</f>
        <v/>
      </c>
      <c r="F13" s="28">
        <f>IF($E13="","",$E13*(1+설정!$B$16))</f>
        <v/>
      </c>
      <c r="G13" s="29" t="n"/>
      <c r="H13" s="30">
        <f>IF($E13="","",IF($G13="",설정!$B$17,$G13))</f>
        <v/>
      </c>
      <c r="I13" s="28">
        <f>IF($F13="","",IFERROR(IF(설정!$B$19&lt;=1,ROUND(IF(설정!$B$18="판매가 마진",$F13/(1-$H13),$F13*(1+$H13)),0),CEILING(IF(설정!$B$18="판매가 마진",$F13/(1-$H13),$F13*(1+$H13)),설정!$B$19)),0))</f>
        <v/>
      </c>
      <c r="J13" s="28">
        <f>IF($I13="","",$I13-$F13)</f>
        <v/>
      </c>
      <c r="K13" s="30">
        <f>IF(N($I13)=0,"",$J13/$I13)</f>
        <v/>
      </c>
      <c r="L13" s="28">
        <f>IF($I13="","",$I13*$D13)</f>
        <v/>
      </c>
      <c r="M13" s="28">
        <f>IF($F13="","",$F13*$D13)</f>
        <v/>
      </c>
    </row>
    <row r="14">
      <c r="A14" s="24" t="n"/>
      <c r="B14" s="25" t="n"/>
      <c r="C14" s="22" t="n"/>
      <c r="D14" s="26" t="n"/>
      <c r="E14" s="27">
        <f>IF(N($C14)=0,"",$C14*IF($B14="USD",설정!$B$10,IF($B14="CNY",설정!$B$11,1)))</f>
        <v/>
      </c>
      <c r="F14" s="28">
        <f>IF($E14="","",$E14*(1+설정!$B$16))</f>
        <v/>
      </c>
      <c r="G14" s="29" t="n"/>
      <c r="H14" s="30">
        <f>IF($E14="","",IF($G14="",설정!$B$17,$G14))</f>
        <v/>
      </c>
      <c r="I14" s="28">
        <f>IF($F14="","",IFERROR(IF(설정!$B$19&lt;=1,ROUND(IF(설정!$B$18="판매가 마진",$F14/(1-$H14),$F14*(1+$H14)),0),CEILING(IF(설정!$B$18="판매가 마진",$F14/(1-$H14),$F14*(1+$H14)),설정!$B$19)),0))</f>
        <v/>
      </c>
      <c r="J14" s="28">
        <f>IF($I14="","",$I14-$F14)</f>
        <v/>
      </c>
      <c r="K14" s="30">
        <f>IF(N($I14)=0,"",$J14/$I14)</f>
        <v/>
      </c>
      <c r="L14" s="28">
        <f>IF($I14="","",$I14*$D14)</f>
        <v/>
      </c>
      <c r="M14" s="28">
        <f>IF($F14="","",$F14*$D14)</f>
        <v/>
      </c>
    </row>
    <row r="15">
      <c r="A15" s="24" t="n"/>
      <c r="B15" s="25" t="n"/>
      <c r="C15" s="22" t="n"/>
      <c r="D15" s="26" t="n"/>
      <c r="E15" s="27">
        <f>IF(N($C15)=0,"",$C15*IF($B15="USD",설정!$B$10,IF($B15="CNY",설정!$B$11,1)))</f>
        <v/>
      </c>
      <c r="F15" s="28">
        <f>IF($E15="","",$E15*(1+설정!$B$16))</f>
        <v/>
      </c>
      <c r="G15" s="29" t="n"/>
      <c r="H15" s="30">
        <f>IF($E15="","",IF($G15="",설정!$B$17,$G15))</f>
        <v/>
      </c>
      <c r="I15" s="28">
        <f>IF($F15="","",IFERROR(IF(설정!$B$19&lt;=1,ROUND(IF(설정!$B$18="판매가 마진",$F15/(1-$H15),$F15*(1+$H15)),0),CEILING(IF(설정!$B$18="판매가 마진",$F15/(1-$H15),$F15*(1+$H15)),설정!$B$19)),0))</f>
        <v/>
      </c>
      <c r="J15" s="28">
        <f>IF($I15="","",$I15-$F15)</f>
        <v/>
      </c>
      <c r="K15" s="30">
        <f>IF(N($I15)=0,"",$J15/$I15)</f>
        <v/>
      </c>
      <c r="L15" s="28">
        <f>IF($I15="","",$I15*$D15)</f>
        <v/>
      </c>
      <c r="M15" s="28">
        <f>IF($F15="","",$F15*$D15)</f>
        <v/>
      </c>
    </row>
    <row r="16">
      <c r="A16" s="24" t="n"/>
      <c r="B16" s="25" t="n"/>
      <c r="C16" s="22" t="n"/>
      <c r="D16" s="26" t="n"/>
      <c r="E16" s="27">
        <f>IF(N($C16)=0,"",$C16*IF($B16="USD",설정!$B$10,IF($B16="CNY",설정!$B$11,1)))</f>
        <v/>
      </c>
      <c r="F16" s="28">
        <f>IF($E16="","",$E16*(1+설정!$B$16))</f>
        <v/>
      </c>
      <c r="G16" s="29" t="n"/>
      <c r="H16" s="30">
        <f>IF($E16="","",IF($G16="",설정!$B$17,$G16))</f>
        <v/>
      </c>
      <c r="I16" s="28">
        <f>IF($F16="","",IFERROR(IF(설정!$B$19&lt;=1,ROUND(IF(설정!$B$18="판매가 마진",$F16/(1-$H16),$F16*(1+$H16)),0),CEILING(IF(설정!$B$18="판매가 마진",$F16/(1-$H16),$F16*(1+$H16)),설정!$B$19)),0))</f>
        <v/>
      </c>
      <c r="J16" s="28">
        <f>IF($I16="","",$I16-$F16)</f>
        <v/>
      </c>
      <c r="K16" s="30">
        <f>IF(N($I16)=0,"",$J16/$I16)</f>
        <v/>
      </c>
      <c r="L16" s="28">
        <f>IF($I16="","",$I16*$D16)</f>
        <v/>
      </c>
      <c r="M16" s="28">
        <f>IF($F16="","",$F16*$D16)</f>
        <v/>
      </c>
    </row>
    <row r="17">
      <c r="A17" s="24" t="n"/>
      <c r="B17" s="25" t="n"/>
      <c r="C17" s="22" t="n"/>
      <c r="D17" s="26" t="n"/>
      <c r="E17" s="27">
        <f>IF(N($C17)=0,"",$C17*IF($B17="USD",설정!$B$10,IF($B17="CNY",설정!$B$11,1)))</f>
        <v/>
      </c>
      <c r="F17" s="28">
        <f>IF($E17="","",$E17*(1+설정!$B$16))</f>
        <v/>
      </c>
      <c r="G17" s="29" t="n"/>
      <c r="H17" s="30">
        <f>IF($E17="","",IF($G17="",설정!$B$17,$G17))</f>
        <v/>
      </c>
      <c r="I17" s="28">
        <f>IF($F17="","",IFERROR(IF(설정!$B$19&lt;=1,ROUND(IF(설정!$B$18="판매가 마진",$F17/(1-$H17),$F17*(1+$H17)),0),CEILING(IF(설정!$B$18="판매가 마진",$F17/(1-$H17),$F17*(1+$H17)),설정!$B$19)),0))</f>
        <v/>
      </c>
      <c r="J17" s="28">
        <f>IF($I17="","",$I17-$F17)</f>
        <v/>
      </c>
      <c r="K17" s="30">
        <f>IF(N($I17)=0,"",$J17/$I17)</f>
        <v/>
      </c>
      <c r="L17" s="28">
        <f>IF($I17="","",$I17*$D17)</f>
        <v/>
      </c>
      <c r="M17" s="28">
        <f>IF($F17="","",$F17*$D17)</f>
        <v/>
      </c>
    </row>
    <row r="18">
      <c r="A18" s="24" t="n"/>
      <c r="B18" s="25" t="n"/>
      <c r="C18" s="22" t="n"/>
      <c r="D18" s="26" t="n"/>
      <c r="E18" s="27">
        <f>IF(N($C18)=0,"",$C18*IF($B18="USD",설정!$B$10,IF($B18="CNY",설정!$B$11,1)))</f>
        <v/>
      </c>
      <c r="F18" s="28">
        <f>IF($E18="","",$E18*(1+설정!$B$16))</f>
        <v/>
      </c>
      <c r="G18" s="29" t="n"/>
      <c r="H18" s="30">
        <f>IF($E18="","",IF($G18="",설정!$B$17,$G18))</f>
        <v/>
      </c>
      <c r="I18" s="28">
        <f>IF($F18="","",IFERROR(IF(설정!$B$19&lt;=1,ROUND(IF(설정!$B$18="판매가 마진",$F18/(1-$H18),$F18*(1+$H18)),0),CEILING(IF(설정!$B$18="판매가 마진",$F18/(1-$H18),$F18*(1+$H18)),설정!$B$19)),0))</f>
        <v/>
      </c>
      <c r="J18" s="28">
        <f>IF($I18="","",$I18-$F18)</f>
        <v/>
      </c>
      <c r="K18" s="30">
        <f>IF(N($I18)=0,"",$J18/$I18)</f>
        <v/>
      </c>
      <c r="L18" s="28">
        <f>IF($I18="","",$I18*$D18)</f>
        <v/>
      </c>
      <c r="M18" s="28">
        <f>IF($F18="","",$F18*$D18)</f>
        <v/>
      </c>
    </row>
    <row r="19">
      <c r="A19" s="24" t="n"/>
      <c r="B19" s="25" t="n"/>
      <c r="C19" s="22" t="n"/>
      <c r="D19" s="26" t="n"/>
      <c r="E19" s="27">
        <f>IF(N($C19)=0,"",$C19*IF($B19="USD",설정!$B$10,IF($B19="CNY",설정!$B$11,1)))</f>
        <v/>
      </c>
      <c r="F19" s="28">
        <f>IF($E19="","",$E19*(1+설정!$B$16))</f>
        <v/>
      </c>
      <c r="G19" s="29" t="n"/>
      <c r="H19" s="30">
        <f>IF($E19="","",IF($G19="",설정!$B$17,$G19))</f>
        <v/>
      </c>
      <c r="I19" s="28">
        <f>IF($F19="","",IFERROR(IF(설정!$B$19&lt;=1,ROUND(IF(설정!$B$18="판매가 마진",$F19/(1-$H19),$F19*(1+$H19)),0),CEILING(IF(설정!$B$18="판매가 마진",$F19/(1-$H19),$F19*(1+$H19)),설정!$B$19)),0))</f>
        <v/>
      </c>
      <c r="J19" s="28">
        <f>IF($I19="","",$I19-$F19)</f>
        <v/>
      </c>
      <c r="K19" s="30">
        <f>IF(N($I19)=0,"",$J19/$I19)</f>
        <v/>
      </c>
      <c r="L19" s="28">
        <f>IF($I19="","",$I19*$D19)</f>
        <v/>
      </c>
      <c r="M19" s="28">
        <f>IF($F19="","",$F19*$D19)</f>
        <v/>
      </c>
    </row>
    <row r="20">
      <c r="A20" s="24" t="n"/>
      <c r="B20" s="25" t="n"/>
      <c r="C20" s="22" t="n"/>
      <c r="D20" s="26" t="n"/>
      <c r="E20" s="27">
        <f>IF(N($C20)=0,"",$C20*IF($B20="USD",설정!$B$10,IF($B20="CNY",설정!$B$11,1)))</f>
        <v/>
      </c>
      <c r="F20" s="28">
        <f>IF($E20="","",$E20*(1+설정!$B$16))</f>
        <v/>
      </c>
      <c r="G20" s="29" t="n"/>
      <c r="H20" s="30">
        <f>IF($E20="","",IF($G20="",설정!$B$17,$G20))</f>
        <v/>
      </c>
      <c r="I20" s="28">
        <f>IF($F20="","",IFERROR(IF(설정!$B$19&lt;=1,ROUND(IF(설정!$B$18="판매가 마진",$F20/(1-$H20),$F20*(1+$H20)),0),CEILING(IF(설정!$B$18="판매가 마진",$F20/(1-$H20),$F20*(1+$H20)),설정!$B$19)),0))</f>
        <v/>
      </c>
      <c r="J20" s="28">
        <f>IF($I20="","",$I20-$F20)</f>
        <v/>
      </c>
      <c r="K20" s="30">
        <f>IF(N($I20)=0,"",$J20/$I20)</f>
        <v/>
      </c>
      <c r="L20" s="28">
        <f>IF($I20="","",$I20*$D20)</f>
        <v/>
      </c>
      <c r="M20" s="28">
        <f>IF($F20="","",$F20*$D20)</f>
        <v/>
      </c>
    </row>
    <row r="21">
      <c r="A21" s="24" t="n"/>
      <c r="B21" s="25" t="n"/>
      <c r="C21" s="22" t="n"/>
      <c r="D21" s="26" t="n"/>
      <c r="E21" s="27">
        <f>IF(N($C21)=0,"",$C21*IF($B21="USD",설정!$B$10,IF($B21="CNY",설정!$B$11,1)))</f>
        <v/>
      </c>
      <c r="F21" s="28">
        <f>IF($E21="","",$E21*(1+설정!$B$16))</f>
        <v/>
      </c>
      <c r="G21" s="29" t="n"/>
      <c r="H21" s="30">
        <f>IF($E21="","",IF($G21="",설정!$B$17,$G21))</f>
        <v/>
      </c>
      <c r="I21" s="28">
        <f>IF($F21="","",IFERROR(IF(설정!$B$19&lt;=1,ROUND(IF(설정!$B$18="판매가 마진",$F21/(1-$H21),$F21*(1+$H21)),0),CEILING(IF(설정!$B$18="판매가 마진",$F21/(1-$H21),$F21*(1+$H21)),설정!$B$19)),0))</f>
        <v/>
      </c>
      <c r="J21" s="28">
        <f>IF($I21="","",$I21-$F21)</f>
        <v/>
      </c>
      <c r="K21" s="30">
        <f>IF(N($I21)=0,"",$J21/$I21)</f>
        <v/>
      </c>
      <c r="L21" s="28">
        <f>IF($I21="","",$I21*$D21)</f>
        <v/>
      </c>
      <c r="M21" s="28">
        <f>IF($F21="","",$F21*$D21)</f>
        <v/>
      </c>
    </row>
    <row r="22">
      <c r="A22" s="24" t="n"/>
      <c r="B22" s="25" t="n"/>
      <c r="C22" s="22" t="n"/>
      <c r="D22" s="26" t="n"/>
      <c r="E22" s="27">
        <f>IF(N($C22)=0,"",$C22*IF($B22="USD",설정!$B$10,IF($B22="CNY",설정!$B$11,1)))</f>
        <v/>
      </c>
      <c r="F22" s="28">
        <f>IF($E22="","",$E22*(1+설정!$B$16))</f>
        <v/>
      </c>
      <c r="G22" s="29" t="n"/>
      <c r="H22" s="30">
        <f>IF($E22="","",IF($G22="",설정!$B$17,$G22))</f>
        <v/>
      </c>
      <c r="I22" s="28">
        <f>IF($F22="","",IFERROR(IF(설정!$B$19&lt;=1,ROUND(IF(설정!$B$18="판매가 마진",$F22/(1-$H22),$F22*(1+$H22)),0),CEILING(IF(설정!$B$18="판매가 마진",$F22/(1-$H22),$F22*(1+$H22)),설정!$B$19)),0))</f>
        <v/>
      </c>
      <c r="J22" s="28">
        <f>IF($I22="","",$I22-$F22)</f>
        <v/>
      </c>
      <c r="K22" s="30">
        <f>IF(N($I22)=0,"",$J22/$I22)</f>
        <v/>
      </c>
      <c r="L22" s="28">
        <f>IF($I22="","",$I22*$D22)</f>
        <v/>
      </c>
      <c r="M22" s="28">
        <f>IF($F22="","",$F22*$D22)</f>
        <v/>
      </c>
    </row>
    <row r="23">
      <c r="A23" s="24" t="n"/>
      <c r="B23" s="25" t="n"/>
      <c r="C23" s="22" t="n"/>
      <c r="D23" s="26" t="n"/>
      <c r="E23" s="27">
        <f>IF(N($C23)=0,"",$C23*IF($B23="USD",설정!$B$10,IF($B23="CNY",설정!$B$11,1)))</f>
        <v/>
      </c>
      <c r="F23" s="28">
        <f>IF($E23="","",$E23*(1+설정!$B$16))</f>
        <v/>
      </c>
      <c r="G23" s="29" t="n"/>
      <c r="H23" s="30">
        <f>IF($E23="","",IF($G23="",설정!$B$17,$G23))</f>
        <v/>
      </c>
      <c r="I23" s="28">
        <f>IF($F23="","",IFERROR(IF(설정!$B$19&lt;=1,ROUND(IF(설정!$B$18="판매가 마진",$F23/(1-$H23),$F23*(1+$H23)),0),CEILING(IF(설정!$B$18="판매가 마진",$F23/(1-$H23),$F23*(1+$H23)),설정!$B$19)),0))</f>
        <v/>
      </c>
      <c r="J23" s="28">
        <f>IF($I23="","",$I23-$F23)</f>
        <v/>
      </c>
      <c r="K23" s="30">
        <f>IF(N($I23)=0,"",$J23/$I23)</f>
        <v/>
      </c>
      <c r="L23" s="28">
        <f>IF($I23="","",$I23*$D23)</f>
        <v/>
      </c>
      <c r="M23" s="28">
        <f>IF($F23="","",$F23*$D23)</f>
        <v/>
      </c>
    </row>
    <row r="24">
      <c r="A24" s="24" t="n"/>
      <c r="B24" s="25" t="n"/>
      <c r="C24" s="22" t="n"/>
      <c r="D24" s="26" t="n"/>
      <c r="E24" s="27">
        <f>IF(N($C24)=0,"",$C24*IF($B24="USD",설정!$B$10,IF($B24="CNY",설정!$B$11,1)))</f>
        <v/>
      </c>
      <c r="F24" s="28">
        <f>IF($E24="","",$E24*(1+설정!$B$16))</f>
        <v/>
      </c>
      <c r="G24" s="29" t="n"/>
      <c r="H24" s="30">
        <f>IF($E24="","",IF($G24="",설정!$B$17,$G24))</f>
        <v/>
      </c>
      <c r="I24" s="28">
        <f>IF($F24="","",IFERROR(IF(설정!$B$19&lt;=1,ROUND(IF(설정!$B$18="판매가 마진",$F24/(1-$H24),$F24*(1+$H24)),0),CEILING(IF(설정!$B$18="판매가 마진",$F24/(1-$H24),$F24*(1+$H24)),설정!$B$19)),0))</f>
        <v/>
      </c>
      <c r="J24" s="28">
        <f>IF($I24="","",$I24-$F24)</f>
        <v/>
      </c>
      <c r="K24" s="30">
        <f>IF(N($I24)=0,"",$J24/$I24)</f>
        <v/>
      </c>
      <c r="L24" s="28">
        <f>IF($I24="","",$I24*$D24)</f>
        <v/>
      </c>
      <c r="M24" s="28">
        <f>IF($F24="","",$F24*$D24)</f>
        <v/>
      </c>
    </row>
    <row r="25">
      <c r="A25" s="24" t="n"/>
      <c r="B25" s="25" t="n"/>
      <c r="C25" s="22" t="n"/>
      <c r="D25" s="26" t="n"/>
      <c r="E25" s="27">
        <f>IF(N($C25)=0,"",$C25*IF($B25="USD",설정!$B$10,IF($B25="CNY",설정!$B$11,1)))</f>
        <v/>
      </c>
      <c r="F25" s="28">
        <f>IF($E25="","",$E25*(1+설정!$B$16))</f>
        <v/>
      </c>
      <c r="G25" s="29" t="n"/>
      <c r="H25" s="30">
        <f>IF($E25="","",IF($G25="",설정!$B$17,$G25))</f>
        <v/>
      </c>
      <c r="I25" s="28">
        <f>IF($F25="","",IFERROR(IF(설정!$B$19&lt;=1,ROUND(IF(설정!$B$18="판매가 마진",$F25/(1-$H25),$F25*(1+$H25)),0),CEILING(IF(설정!$B$18="판매가 마진",$F25/(1-$H25),$F25*(1+$H25)),설정!$B$19)),0))</f>
        <v/>
      </c>
      <c r="J25" s="28">
        <f>IF($I25="","",$I25-$F25)</f>
        <v/>
      </c>
      <c r="K25" s="30">
        <f>IF(N($I25)=0,"",$J25/$I25)</f>
        <v/>
      </c>
      <c r="L25" s="28">
        <f>IF($I25="","",$I25*$D25)</f>
        <v/>
      </c>
      <c r="M25" s="28">
        <f>IF($F25="","",$F25*$D25)</f>
        <v/>
      </c>
    </row>
    <row r="26">
      <c r="A26" s="24" t="n"/>
      <c r="B26" s="25" t="n"/>
      <c r="C26" s="22" t="n"/>
      <c r="D26" s="26" t="n"/>
      <c r="E26" s="27">
        <f>IF(N($C26)=0,"",$C26*IF($B26="USD",설정!$B$10,IF($B26="CNY",설정!$B$11,1)))</f>
        <v/>
      </c>
      <c r="F26" s="28">
        <f>IF($E26="","",$E26*(1+설정!$B$16))</f>
        <v/>
      </c>
      <c r="G26" s="29" t="n"/>
      <c r="H26" s="30">
        <f>IF($E26="","",IF($G26="",설정!$B$17,$G26))</f>
        <v/>
      </c>
      <c r="I26" s="28">
        <f>IF($F26="","",IFERROR(IF(설정!$B$19&lt;=1,ROUND(IF(설정!$B$18="판매가 마진",$F26/(1-$H26),$F26*(1+$H26)),0),CEILING(IF(설정!$B$18="판매가 마진",$F26/(1-$H26),$F26*(1+$H26)),설정!$B$19)),0))</f>
        <v/>
      </c>
      <c r="J26" s="28">
        <f>IF($I26="","",$I26-$F26)</f>
        <v/>
      </c>
      <c r="K26" s="30">
        <f>IF(N($I26)=0,"",$J26/$I26)</f>
        <v/>
      </c>
      <c r="L26" s="28">
        <f>IF($I26="","",$I26*$D26)</f>
        <v/>
      </c>
      <c r="M26" s="28">
        <f>IF($F26="","",$F26*$D26)</f>
        <v/>
      </c>
    </row>
    <row r="27">
      <c r="A27" s="24" t="n"/>
      <c r="B27" s="25" t="n"/>
      <c r="C27" s="22" t="n"/>
      <c r="D27" s="26" t="n"/>
      <c r="E27" s="27">
        <f>IF(N($C27)=0,"",$C27*IF($B27="USD",설정!$B$10,IF($B27="CNY",설정!$B$11,1)))</f>
        <v/>
      </c>
      <c r="F27" s="28">
        <f>IF($E27="","",$E27*(1+설정!$B$16))</f>
        <v/>
      </c>
      <c r="G27" s="29" t="n"/>
      <c r="H27" s="30">
        <f>IF($E27="","",IF($G27="",설정!$B$17,$G27))</f>
        <v/>
      </c>
      <c r="I27" s="28">
        <f>IF($F27="","",IFERROR(IF(설정!$B$19&lt;=1,ROUND(IF(설정!$B$18="판매가 마진",$F27/(1-$H27),$F27*(1+$H27)),0),CEILING(IF(설정!$B$18="판매가 마진",$F27/(1-$H27),$F27*(1+$H27)),설정!$B$19)),0))</f>
        <v/>
      </c>
      <c r="J27" s="28">
        <f>IF($I27="","",$I27-$F27)</f>
        <v/>
      </c>
      <c r="K27" s="30">
        <f>IF(N($I27)=0,"",$J27/$I27)</f>
        <v/>
      </c>
      <c r="L27" s="28">
        <f>IF($I27="","",$I27*$D27)</f>
        <v/>
      </c>
      <c r="M27" s="28">
        <f>IF($F27="","",$F27*$D27)</f>
        <v/>
      </c>
    </row>
    <row r="28">
      <c r="A28" s="24" t="n"/>
      <c r="B28" s="25" t="n"/>
      <c r="C28" s="22" t="n"/>
      <c r="D28" s="26" t="n"/>
      <c r="E28" s="27">
        <f>IF(N($C28)=0,"",$C28*IF($B28="USD",설정!$B$10,IF($B28="CNY",설정!$B$11,1)))</f>
        <v/>
      </c>
      <c r="F28" s="28">
        <f>IF($E28="","",$E28*(1+설정!$B$16))</f>
        <v/>
      </c>
      <c r="G28" s="29" t="n"/>
      <c r="H28" s="30">
        <f>IF($E28="","",IF($G28="",설정!$B$17,$G28))</f>
        <v/>
      </c>
      <c r="I28" s="28">
        <f>IF($F28="","",IFERROR(IF(설정!$B$19&lt;=1,ROUND(IF(설정!$B$18="판매가 마진",$F28/(1-$H28),$F28*(1+$H28)),0),CEILING(IF(설정!$B$18="판매가 마진",$F28/(1-$H28),$F28*(1+$H28)),설정!$B$19)),0))</f>
        <v/>
      </c>
      <c r="J28" s="28">
        <f>IF($I28="","",$I28-$F28)</f>
        <v/>
      </c>
      <c r="K28" s="30">
        <f>IF(N($I28)=0,"",$J28/$I28)</f>
        <v/>
      </c>
      <c r="L28" s="28">
        <f>IF($I28="","",$I28*$D28)</f>
        <v/>
      </c>
      <c r="M28" s="28">
        <f>IF($F28="","",$F28*$D28)</f>
        <v/>
      </c>
    </row>
    <row r="29">
      <c r="A29" s="24" t="n"/>
      <c r="B29" s="25" t="n"/>
      <c r="C29" s="22" t="n"/>
      <c r="D29" s="26" t="n"/>
      <c r="E29" s="27">
        <f>IF(N($C29)=0,"",$C29*IF($B29="USD",설정!$B$10,IF($B29="CNY",설정!$B$11,1)))</f>
        <v/>
      </c>
      <c r="F29" s="28">
        <f>IF($E29="","",$E29*(1+설정!$B$16))</f>
        <v/>
      </c>
      <c r="G29" s="29" t="n"/>
      <c r="H29" s="30">
        <f>IF($E29="","",IF($G29="",설정!$B$17,$G29))</f>
        <v/>
      </c>
      <c r="I29" s="28">
        <f>IF($F29="","",IFERROR(IF(설정!$B$19&lt;=1,ROUND(IF(설정!$B$18="판매가 마진",$F29/(1-$H29),$F29*(1+$H29)),0),CEILING(IF(설정!$B$18="판매가 마진",$F29/(1-$H29),$F29*(1+$H29)),설정!$B$19)),0))</f>
        <v/>
      </c>
      <c r="J29" s="28">
        <f>IF($I29="","",$I29-$F29)</f>
        <v/>
      </c>
      <c r="K29" s="30">
        <f>IF(N($I29)=0,"",$J29/$I29)</f>
        <v/>
      </c>
      <c r="L29" s="28">
        <f>IF($I29="","",$I29*$D29)</f>
        <v/>
      </c>
      <c r="M29" s="28">
        <f>IF($F29="","",$F29*$D29)</f>
        <v/>
      </c>
    </row>
    <row r="30">
      <c r="A30" s="24" t="n"/>
      <c r="B30" s="25" t="n"/>
      <c r="C30" s="22" t="n"/>
      <c r="D30" s="26" t="n"/>
      <c r="E30" s="27">
        <f>IF(N($C30)=0,"",$C30*IF($B30="USD",설정!$B$10,IF($B30="CNY",설정!$B$11,1)))</f>
        <v/>
      </c>
      <c r="F30" s="28">
        <f>IF($E30="","",$E30*(1+설정!$B$16))</f>
        <v/>
      </c>
      <c r="G30" s="29" t="n"/>
      <c r="H30" s="30">
        <f>IF($E30="","",IF($G30="",설정!$B$17,$G30))</f>
        <v/>
      </c>
      <c r="I30" s="28">
        <f>IF($F30="","",IFERROR(IF(설정!$B$19&lt;=1,ROUND(IF(설정!$B$18="판매가 마진",$F30/(1-$H30),$F30*(1+$H30)),0),CEILING(IF(설정!$B$18="판매가 마진",$F30/(1-$H30),$F30*(1+$H30)),설정!$B$19)),0))</f>
        <v/>
      </c>
      <c r="J30" s="28">
        <f>IF($I30="","",$I30-$F30)</f>
        <v/>
      </c>
      <c r="K30" s="30">
        <f>IF(N($I30)=0,"",$J30/$I30)</f>
        <v/>
      </c>
      <c r="L30" s="28">
        <f>IF($I30="","",$I30*$D30)</f>
        <v/>
      </c>
      <c r="M30" s="28">
        <f>IF($F30="","",$F30*$D30)</f>
        <v/>
      </c>
    </row>
    <row r="31">
      <c r="A31" s="24" t="n"/>
      <c r="B31" s="25" t="n"/>
      <c r="C31" s="22" t="n"/>
      <c r="D31" s="26" t="n"/>
      <c r="E31" s="27">
        <f>IF(N($C31)=0,"",$C31*IF($B31="USD",설정!$B$10,IF($B31="CNY",설정!$B$11,1)))</f>
        <v/>
      </c>
      <c r="F31" s="28">
        <f>IF($E31="","",$E31*(1+설정!$B$16))</f>
        <v/>
      </c>
      <c r="G31" s="29" t="n"/>
      <c r="H31" s="30">
        <f>IF($E31="","",IF($G31="",설정!$B$17,$G31))</f>
        <v/>
      </c>
      <c r="I31" s="28">
        <f>IF($F31="","",IFERROR(IF(설정!$B$19&lt;=1,ROUND(IF(설정!$B$18="판매가 마진",$F31/(1-$H31),$F31*(1+$H31)),0),CEILING(IF(설정!$B$18="판매가 마진",$F31/(1-$H31),$F31*(1+$H31)),설정!$B$19)),0))</f>
        <v/>
      </c>
      <c r="J31" s="28">
        <f>IF($I31="","",$I31-$F31)</f>
        <v/>
      </c>
      <c r="K31" s="30">
        <f>IF(N($I31)=0,"",$J31/$I31)</f>
        <v/>
      </c>
      <c r="L31" s="28">
        <f>IF($I31="","",$I31*$D31)</f>
        <v/>
      </c>
      <c r="M31" s="28">
        <f>IF($F31="","",$F31*$D31)</f>
        <v/>
      </c>
    </row>
    <row r="32">
      <c r="A32" s="24" t="n"/>
      <c r="B32" s="25" t="n"/>
      <c r="C32" s="22" t="n"/>
      <c r="D32" s="26" t="n"/>
      <c r="E32" s="27">
        <f>IF(N($C32)=0,"",$C32*IF($B32="USD",설정!$B$10,IF($B32="CNY",설정!$B$11,1)))</f>
        <v/>
      </c>
      <c r="F32" s="28">
        <f>IF($E32="","",$E32*(1+설정!$B$16))</f>
        <v/>
      </c>
      <c r="G32" s="29" t="n"/>
      <c r="H32" s="30">
        <f>IF($E32="","",IF($G32="",설정!$B$17,$G32))</f>
        <v/>
      </c>
      <c r="I32" s="28">
        <f>IF($F32="","",IFERROR(IF(설정!$B$19&lt;=1,ROUND(IF(설정!$B$18="판매가 마진",$F32/(1-$H32),$F32*(1+$H32)),0),CEILING(IF(설정!$B$18="판매가 마진",$F32/(1-$H32),$F32*(1+$H32)),설정!$B$19)),0))</f>
        <v/>
      </c>
      <c r="J32" s="28">
        <f>IF($I32="","",$I32-$F32)</f>
        <v/>
      </c>
      <c r="K32" s="30">
        <f>IF(N($I32)=0,"",$J32/$I32)</f>
        <v/>
      </c>
      <c r="L32" s="28">
        <f>IF($I32="","",$I32*$D32)</f>
        <v/>
      </c>
      <c r="M32" s="28">
        <f>IF($F32="","",$F32*$D32)</f>
        <v/>
      </c>
    </row>
    <row r="33">
      <c r="A33" s="24" t="n"/>
      <c r="B33" s="25" t="n"/>
      <c r="C33" s="22" t="n"/>
      <c r="D33" s="26" t="n"/>
      <c r="E33" s="27">
        <f>IF(N($C33)=0,"",$C33*IF($B33="USD",설정!$B$10,IF($B33="CNY",설정!$B$11,1)))</f>
        <v/>
      </c>
      <c r="F33" s="28">
        <f>IF($E33="","",$E33*(1+설정!$B$16))</f>
        <v/>
      </c>
      <c r="G33" s="29" t="n"/>
      <c r="H33" s="30">
        <f>IF($E33="","",IF($G33="",설정!$B$17,$G33))</f>
        <v/>
      </c>
      <c r="I33" s="28">
        <f>IF($F33="","",IFERROR(IF(설정!$B$19&lt;=1,ROUND(IF(설정!$B$18="판매가 마진",$F33/(1-$H33),$F33*(1+$H33)),0),CEILING(IF(설정!$B$18="판매가 마진",$F33/(1-$H33),$F33*(1+$H33)),설정!$B$19)),0))</f>
        <v/>
      </c>
      <c r="J33" s="28">
        <f>IF($I33="","",$I33-$F33)</f>
        <v/>
      </c>
      <c r="K33" s="30">
        <f>IF(N($I33)=0,"",$J33/$I33)</f>
        <v/>
      </c>
      <c r="L33" s="28">
        <f>IF($I33="","",$I33*$D33)</f>
        <v/>
      </c>
      <c r="M33" s="28">
        <f>IF($F33="","",$F33*$D33)</f>
        <v/>
      </c>
    </row>
    <row r="34">
      <c r="A34" s="24" t="n"/>
      <c r="B34" s="25" t="n"/>
      <c r="C34" s="22" t="n"/>
      <c r="D34" s="26" t="n"/>
      <c r="E34" s="27">
        <f>IF(N($C34)=0,"",$C34*IF($B34="USD",설정!$B$10,IF($B34="CNY",설정!$B$11,1)))</f>
        <v/>
      </c>
      <c r="F34" s="28">
        <f>IF($E34="","",$E34*(1+설정!$B$16))</f>
        <v/>
      </c>
      <c r="G34" s="29" t="n"/>
      <c r="H34" s="30">
        <f>IF($E34="","",IF($G34="",설정!$B$17,$G34))</f>
        <v/>
      </c>
      <c r="I34" s="28">
        <f>IF($F34="","",IFERROR(IF(설정!$B$19&lt;=1,ROUND(IF(설정!$B$18="판매가 마진",$F34/(1-$H34),$F34*(1+$H34)),0),CEILING(IF(설정!$B$18="판매가 마진",$F34/(1-$H34),$F34*(1+$H34)),설정!$B$19)),0))</f>
        <v/>
      </c>
      <c r="J34" s="28">
        <f>IF($I34="","",$I34-$F34)</f>
        <v/>
      </c>
      <c r="K34" s="30">
        <f>IF(N($I34)=0,"",$J34/$I34)</f>
        <v/>
      </c>
      <c r="L34" s="28">
        <f>IF($I34="","",$I34*$D34)</f>
        <v/>
      </c>
      <c r="M34" s="28">
        <f>IF($F34="","",$F34*$D34)</f>
        <v/>
      </c>
    </row>
    <row r="35">
      <c r="A35" s="24" t="n"/>
      <c r="B35" s="25" t="n"/>
      <c r="C35" s="22" t="n"/>
      <c r="D35" s="26" t="n"/>
      <c r="E35" s="27">
        <f>IF(N($C35)=0,"",$C35*IF($B35="USD",설정!$B$10,IF($B35="CNY",설정!$B$11,1)))</f>
        <v/>
      </c>
      <c r="F35" s="28">
        <f>IF($E35="","",$E35*(1+설정!$B$16))</f>
        <v/>
      </c>
      <c r="G35" s="29" t="n"/>
      <c r="H35" s="30">
        <f>IF($E35="","",IF($G35="",설정!$B$17,$G35))</f>
        <v/>
      </c>
      <c r="I35" s="28">
        <f>IF($F35="","",IFERROR(IF(설정!$B$19&lt;=1,ROUND(IF(설정!$B$18="판매가 마진",$F35/(1-$H35),$F35*(1+$H35)),0),CEILING(IF(설정!$B$18="판매가 마진",$F35/(1-$H35),$F35*(1+$H35)),설정!$B$19)),0))</f>
        <v/>
      </c>
      <c r="J35" s="28">
        <f>IF($I35="","",$I35-$F35)</f>
        <v/>
      </c>
      <c r="K35" s="30">
        <f>IF(N($I35)=0,"",$J35/$I35)</f>
        <v/>
      </c>
      <c r="L35" s="28">
        <f>IF($I35="","",$I35*$D35)</f>
        <v/>
      </c>
      <c r="M35" s="28">
        <f>IF($F35="","",$F35*$D35)</f>
        <v/>
      </c>
    </row>
    <row r="36">
      <c r="A36" s="24" t="n"/>
      <c r="B36" s="25" t="n"/>
      <c r="C36" s="22" t="n"/>
      <c r="D36" s="26" t="n"/>
      <c r="E36" s="27">
        <f>IF(N($C36)=0,"",$C36*IF($B36="USD",설정!$B$10,IF($B36="CNY",설정!$B$11,1)))</f>
        <v/>
      </c>
      <c r="F36" s="28">
        <f>IF($E36="","",$E36*(1+설정!$B$16))</f>
        <v/>
      </c>
      <c r="G36" s="29" t="n"/>
      <c r="H36" s="30">
        <f>IF($E36="","",IF($G36="",설정!$B$17,$G36))</f>
        <v/>
      </c>
      <c r="I36" s="28">
        <f>IF($F36="","",IFERROR(IF(설정!$B$19&lt;=1,ROUND(IF(설정!$B$18="판매가 마진",$F36/(1-$H36),$F36*(1+$H36)),0),CEILING(IF(설정!$B$18="판매가 마진",$F36/(1-$H36),$F36*(1+$H36)),설정!$B$19)),0))</f>
        <v/>
      </c>
      <c r="J36" s="28">
        <f>IF($I36="","",$I36-$F36)</f>
        <v/>
      </c>
      <c r="K36" s="30">
        <f>IF(N($I36)=0,"",$J36/$I36)</f>
        <v/>
      </c>
      <c r="L36" s="28">
        <f>IF($I36="","",$I36*$D36)</f>
        <v/>
      </c>
      <c r="M36" s="28">
        <f>IF($F36="","",$F36*$D36)</f>
        <v/>
      </c>
    </row>
    <row r="37">
      <c r="A37" s="24" t="n"/>
      <c r="B37" s="25" t="n"/>
      <c r="C37" s="22" t="n"/>
      <c r="D37" s="26" t="n"/>
      <c r="E37" s="27">
        <f>IF(N($C37)=0,"",$C37*IF($B37="USD",설정!$B$10,IF($B37="CNY",설정!$B$11,1)))</f>
        <v/>
      </c>
      <c r="F37" s="28">
        <f>IF($E37="","",$E37*(1+설정!$B$16))</f>
        <v/>
      </c>
      <c r="G37" s="29" t="n"/>
      <c r="H37" s="30">
        <f>IF($E37="","",IF($G37="",설정!$B$17,$G37))</f>
        <v/>
      </c>
      <c r="I37" s="28">
        <f>IF($F37="","",IFERROR(IF(설정!$B$19&lt;=1,ROUND(IF(설정!$B$18="판매가 마진",$F37/(1-$H37),$F37*(1+$H37)),0),CEILING(IF(설정!$B$18="판매가 마진",$F37/(1-$H37),$F37*(1+$H37)),설정!$B$19)),0))</f>
        <v/>
      </c>
      <c r="J37" s="28">
        <f>IF($I37="","",$I37-$F37)</f>
        <v/>
      </c>
      <c r="K37" s="30">
        <f>IF(N($I37)=0,"",$J37/$I37)</f>
        <v/>
      </c>
      <c r="L37" s="28">
        <f>IF($I37="","",$I37*$D37)</f>
        <v/>
      </c>
      <c r="M37" s="28">
        <f>IF($F37="","",$F37*$D37)</f>
        <v/>
      </c>
    </row>
    <row r="38">
      <c r="A38" s="24" t="n"/>
      <c r="B38" s="25" t="n"/>
      <c r="C38" s="22" t="n"/>
      <c r="D38" s="26" t="n"/>
      <c r="E38" s="27">
        <f>IF(N($C38)=0,"",$C38*IF($B38="USD",설정!$B$10,IF($B38="CNY",설정!$B$11,1)))</f>
        <v/>
      </c>
      <c r="F38" s="28">
        <f>IF($E38="","",$E38*(1+설정!$B$16))</f>
        <v/>
      </c>
      <c r="G38" s="29" t="n"/>
      <c r="H38" s="30">
        <f>IF($E38="","",IF($G38="",설정!$B$17,$G38))</f>
        <v/>
      </c>
      <c r="I38" s="28">
        <f>IF($F38="","",IFERROR(IF(설정!$B$19&lt;=1,ROUND(IF(설정!$B$18="판매가 마진",$F38/(1-$H38),$F38*(1+$H38)),0),CEILING(IF(설정!$B$18="판매가 마진",$F38/(1-$H38),$F38*(1+$H38)),설정!$B$19)),0))</f>
        <v/>
      </c>
      <c r="J38" s="28">
        <f>IF($I38="","",$I38-$F38)</f>
        <v/>
      </c>
      <c r="K38" s="30">
        <f>IF(N($I38)=0,"",$J38/$I38)</f>
        <v/>
      </c>
      <c r="L38" s="28">
        <f>IF($I38="","",$I38*$D38)</f>
        <v/>
      </c>
      <c r="M38" s="28">
        <f>IF($F38="","",$F38*$D38)</f>
        <v/>
      </c>
    </row>
    <row r="39">
      <c r="A39" s="24" t="n"/>
      <c r="B39" s="25" t="n"/>
      <c r="C39" s="22" t="n"/>
      <c r="D39" s="26" t="n"/>
      <c r="E39" s="27">
        <f>IF(N($C39)=0,"",$C39*IF($B39="USD",설정!$B$10,IF($B39="CNY",설정!$B$11,1)))</f>
        <v/>
      </c>
      <c r="F39" s="28">
        <f>IF($E39="","",$E39*(1+설정!$B$16))</f>
        <v/>
      </c>
      <c r="G39" s="29" t="n"/>
      <c r="H39" s="30">
        <f>IF($E39="","",IF($G39="",설정!$B$17,$G39))</f>
        <v/>
      </c>
      <c r="I39" s="28">
        <f>IF($F39="","",IFERROR(IF(설정!$B$19&lt;=1,ROUND(IF(설정!$B$18="판매가 마진",$F39/(1-$H39),$F39*(1+$H39)),0),CEILING(IF(설정!$B$18="판매가 마진",$F39/(1-$H39),$F39*(1+$H39)),설정!$B$19)),0))</f>
        <v/>
      </c>
      <c r="J39" s="28">
        <f>IF($I39="","",$I39-$F39)</f>
        <v/>
      </c>
      <c r="K39" s="30">
        <f>IF(N($I39)=0,"",$J39/$I39)</f>
        <v/>
      </c>
      <c r="L39" s="28">
        <f>IF($I39="","",$I39*$D39)</f>
        <v/>
      </c>
      <c r="M39" s="28">
        <f>IF($F39="","",$F39*$D39)</f>
        <v/>
      </c>
    </row>
    <row r="40">
      <c r="A40" s="24" t="n"/>
      <c r="B40" s="25" t="n"/>
      <c r="C40" s="22" t="n"/>
      <c r="D40" s="26" t="n"/>
      <c r="E40" s="27">
        <f>IF(N($C40)=0,"",$C40*IF($B40="USD",설정!$B$10,IF($B40="CNY",설정!$B$11,1)))</f>
        <v/>
      </c>
      <c r="F40" s="28">
        <f>IF($E40="","",$E40*(1+설정!$B$16))</f>
        <v/>
      </c>
      <c r="G40" s="29" t="n"/>
      <c r="H40" s="30">
        <f>IF($E40="","",IF($G40="",설정!$B$17,$G40))</f>
        <v/>
      </c>
      <c r="I40" s="28">
        <f>IF($F40="","",IFERROR(IF(설정!$B$19&lt;=1,ROUND(IF(설정!$B$18="판매가 마진",$F40/(1-$H40),$F40*(1+$H40)),0),CEILING(IF(설정!$B$18="판매가 마진",$F40/(1-$H40),$F40*(1+$H40)),설정!$B$19)),0))</f>
        <v/>
      </c>
      <c r="J40" s="28">
        <f>IF($I40="","",$I40-$F40)</f>
        <v/>
      </c>
      <c r="K40" s="30">
        <f>IF(N($I40)=0,"",$J40/$I40)</f>
        <v/>
      </c>
      <c r="L40" s="28">
        <f>IF($I40="","",$I40*$D40)</f>
        <v/>
      </c>
      <c r="M40" s="28">
        <f>IF($F40="","",$F40*$D40)</f>
        <v/>
      </c>
    </row>
    <row r="41">
      <c r="A41" s="24" t="n"/>
      <c r="B41" s="25" t="n"/>
      <c r="C41" s="22" t="n"/>
      <c r="D41" s="26" t="n"/>
      <c r="E41" s="27">
        <f>IF(N($C41)=0,"",$C41*IF($B41="USD",설정!$B$10,IF($B41="CNY",설정!$B$11,1)))</f>
        <v/>
      </c>
      <c r="F41" s="28">
        <f>IF($E41="","",$E41*(1+설정!$B$16))</f>
        <v/>
      </c>
      <c r="G41" s="29" t="n"/>
      <c r="H41" s="30">
        <f>IF($E41="","",IF($G41="",설정!$B$17,$G41))</f>
        <v/>
      </c>
      <c r="I41" s="28">
        <f>IF($F41="","",IFERROR(IF(설정!$B$19&lt;=1,ROUND(IF(설정!$B$18="판매가 마진",$F41/(1-$H41),$F41*(1+$H41)),0),CEILING(IF(설정!$B$18="판매가 마진",$F41/(1-$H41),$F41*(1+$H41)),설정!$B$19)),0))</f>
        <v/>
      </c>
      <c r="J41" s="28">
        <f>IF($I41="","",$I41-$F41)</f>
        <v/>
      </c>
      <c r="K41" s="30">
        <f>IF(N($I41)=0,"",$J41/$I41)</f>
        <v/>
      </c>
      <c r="L41" s="28">
        <f>IF($I41="","",$I41*$D41)</f>
        <v/>
      </c>
      <c r="M41" s="28">
        <f>IF($F41="","",$F41*$D41)</f>
        <v/>
      </c>
    </row>
    <row r="42">
      <c r="A42" s="24" t="n"/>
      <c r="B42" s="25" t="n"/>
      <c r="C42" s="22" t="n"/>
      <c r="D42" s="26" t="n"/>
      <c r="E42" s="27">
        <f>IF(N($C42)=0,"",$C42*IF($B42="USD",설정!$B$10,IF($B42="CNY",설정!$B$11,1)))</f>
        <v/>
      </c>
      <c r="F42" s="28">
        <f>IF($E42="","",$E42*(1+설정!$B$16))</f>
        <v/>
      </c>
      <c r="G42" s="29" t="n"/>
      <c r="H42" s="30">
        <f>IF($E42="","",IF($G42="",설정!$B$17,$G42))</f>
        <v/>
      </c>
      <c r="I42" s="28">
        <f>IF($F42="","",IFERROR(IF(설정!$B$19&lt;=1,ROUND(IF(설정!$B$18="판매가 마진",$F42/(1-$H42),$F42*(1+$H42)),0),CEILING(IF(설정!$B$18="판매가 마진",$F42/(1-$H42),$F42*(1+$H42)),설정!$B$19)),0))</f>
        <v/>
      </c>
      <c r="J42" s="28">
        <f>IF($I42="","",$I42-$F42)</f>
        <v/>
      </c>
      <c r="K42" s="30">
        <f>IF(N($I42)=0,"",$J42/$I42)</f>
        <v/>
      </c>
      <c r="L42" s="28">
        <f>IF($I42="","",$I42*$D42)</f>
        <v/>
      </c>
      <c r="M42" s="28">
        <f>IF($F42="","",$F42*$D42)</f>
        <v/>
      </c>
    </row>
    <row r="43">
      <c r="A43" s="24" t="n"/>
      <c r="B43" s="25" t="n"/>
      <c r="C43" s="22" t="n"/>
      <c r="D43" s="26" t="n"/>
      <c r="E43" s="27">
        <f>IF(N($C43)=0,"",$C43*IF($B43="USD",설정!$B$10,IF($B43="CNY",설정!$B$11,1)))</f>
        <v/>
      </c>
      <c r="F43" s="28">
        <f>IF($E43="","",$E43*(1+설정!$B$16))</f>
        <v/>
      </c>
      <c r="G43" s="29" t="n"/>
      <c r="H43" s="30">
        <f>IF($E43="","",IF($G43="",설정!$B$17,$G43))</f>
        <v/>
      </c>
      <c r="I43" s="28">
        <f>IF($F43="","",IFERROR(IF(설정!$B$19&lt;=1,ROUND(IF(설정!$B$18="판매가 마진",$F43/(1-$H43),$F43*(1+$H43)),0),CEILING(IF(설정!$B$18="판매가 마진",$F43/(1-$H43),$F43*(1+$H43)),설정!$B$19)),0))</f>
        <v/>
      </c>
      <c r="J43" s="28">
        <f>IF($I43="","",$I43-$F43)</f>
        <v/>
      </c>
      <c r="K43" s="30">
        <f>IF(N($I43)=0,"",$J43/$I43)</f>
        <v/>
      </c>
      <c r="L43" s="28">
        <f>IF($I43="","",$I43*$D43)</f>
        <v/>
      </c>
      <c r="M43" s="28">
        <f>IF($F43="","",$F43*$D43)</f>
        <v/>
      </c>
    </row>
    <row r="44">
      <c r="A44" s="24" t="n"/>
      <c r="B44" s="25" t="n"/>
      <c r="C44" s="22" t="n"/>
      <c r="D44" s="26" t="n"/>
      <c r="E44" s="27">
        <f>IF(N($C44)=0,"",$C44*IF($B44="USD",설정!$B$10,IF($B44="CNY",설정!$B$11,1)))</f>
        <v/>
      </c>
      <c r="F44" s="28">
        <f>IF($E44="","",$E44*(1+설정!$B$16))</f>
        <v/>
      </c>
      <c r="G44" s="29" t="n"/>
      <c r="H44" s="30">
        <f>IF($E44="","",IF($G44="",설정!$B$17,$G44))</f>
        <v/>
      </c>
      <c r="I44" s="28">
        <f>IF($F44="","",IFERROR(IF(설정!$B$19&lt;=1,ROUND(IF(설정!$B$18="판매가 마진",$F44/(1-$H44),$F44*(1+$H44)),0),CEILING(IF(설정!$B$18="판매가 마진",$F44/(1-$H44),$F44*(1+$H44)),설정!$B$19)),0))</f>
        <v/>
      </c>
      <c r="J44" s="28">
        <f>IF($I44="","",$I44-$F44)</f>
        <v/>
      </c>
      <c r="K44" s="30">
        <f>IF(N($I44)=0,"",$J44/$I44)</f>
        <v/>
      </c>
      <c r="L44" s="28">
        <f>IF($I44="","",$I44*$D44)</f>
        <v/>
      </c>
      <c r="M44" s="28">
        <f>IF($F44="","",$F44*$D44)</f>
        <v/>
      </c>
    </row>
    <row r="45">
      <c r="A45" s="31" t="inlineStr">
        <is>
          <t>합계</t>
        </is>
      </c>
      <c r="B45" s="32" t="n"/>
      <c r="C45" s="32" t="n"/>
      <c r="D45" s="33">
        <f>SUM(D5:D44)</f>
        <v/>
      </c>
      <c r="E45" s="32" t="n"/>
      <c r="F45" s="32" t="n"/>
      <c r="G45" s="32" t="n"/>
      <c r="H45" s="32" t="n"/>
      <c r="I45" s="32" t="n"/>
      <c r="J45" s="34">
        <f>SUM(J5:J44)</f>
        <v/>
      </c>
      <c r="K45" s="35">
        <f>IFERROR(SUM(J5:J44)/SUM(L5:L44),0)</f>
        <v/>
      </c>
      <c r="L45" s="34">
        <f>SUM(L5:L44)</f>
        <v/>
      </c>
      <c r="M45" s="34">
        <f>SUM(M5:M44)</f>
        <v/>
      </c>
    </row>
    <row r="47">
      <c r="A47" s="5" t="inlineStr">
        <is>
          <t>파란 글씨 칸(A~D, G)만 입력하세요. 나머지는 수식입니다.</t>
        </is>
      </c>
    </row>
    <row r="48">
      <c r="A48" s="5" t="inlineStr">
        <is>
          <t>G열 이윤율을 비워 두면 설정 시트의 기본 이윤율이 적용됩니다.</t>
        </is>
      </c>
    </row>
    <row r="49">
      <c r="A49" s="4" t="inlineStr">
        <is>
          <t>샘플 6개 품목은 형식을 보여주기 위한 예시입니다. 실제 품목으로 교체하세요.</t>
        </is>
      </c>
    </row>
    <row r="50">
      <c r="A50" s="5" t="inlineStr">
        <is>
          <t>표시 금액은 모두 부가세 별도, 태성정밀 공급가 기준입니다.</t>
        </is>
      </c>
    </row>
  </sheetData>
  <dataValidations count="1">
    <dataValidation sqref="B5:B44" showDropDown="0" showInputMessage="0" showErrorMessage="0" allowBlank="1" type="list">
      <formula1>"USD,CNY,KRW"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1" customWidth="1" min="4" max="4"/>
    <col width="13" customWidth="1" min="5" max="5"/>
    <col width="8" customWidth="1" min="6" max="6"/>
    <col width="13" customWidth="1" min="7" max="7"/>
    <col width="9" customWidth="1" min="8" max="8"/>
    <col width="9" customWidth="1" min="9" max="9"/>
    <col width="13" customWidth="1" min="10" max="10"/>
    <col width="13" customWidth="1" min="11" max="11"/>
    <col width="13" customWidth="1" min="12" max="12"/>
    <col width="13" customWidth="1" min="13" max="13"/>
    <col width="12" customWidth="1" min="14" max="14"/>
    <col width="13" customWidth="1" min="15" max="15"/>
    <col width="10" customWidth="1" min="16" max="16"/>
    <col width="10" customWidth="1" min="17" max="17"/>
    <col width="10" customWidth="1" min="18" max="18"/>
    <col width="15" customWidth="1" min="19" max="19"/>
    <col width="15" customWidth="1" min="20" max="20"/>
  </cols>
  <sheetData>
    <row r="1">
      <c r="A1" s="1" t="inlineStr">
        <is>
          <t>상품 판매가 산출 — 수입품 · 국내구매품 유통</t>
        </is>
      </c>
    </row>
    <row r="2">
      <c r="A2" s="17">
        <f>"매입원가 → 판관비 "&amp;TEXT(설정!$B$23,"0.0%")&amp;" → BEP 가격 → 영업이익 "&amp;TEXT(설정!$B$24,"0.0%")&amp;" → 기준 유통가 → (영업) 최종 유통가   ·   "&amp;설정!$B$25&amp;" 방식"</f>
        <v/>
      </c>
    </row>
    <row r="4" ht="34" customHeight="1">
      <c r="A4" s="23" t="inlineStr">
        <is>
          <t>상품</t>
        </is>
      </c>
      <c r="B4" s="23" t="inlineStr">
        <is>
          <t>구분</t>
        </is>
      </c>
      <c r="C4" s="23" t="inlineStr">
        <is>
          <t>통화</t>
        </is>
      </c>
      <c r="D4" s="23" t="inlineStr">
        <is>
          <t>외화 단가</t>
        </is>
      </c>
      <c r="E4" s="23" t="inlineStr">
        <is>
          <t>원화 매입단가</t>
        </is>
      </c>
      <c r="F4" s="23" t="inlineStr">
        <is>
          <t>수량</t>
        </is>
      </c>
      <c r="G4" s="23" t="inlineStr">
        <is>
          <t>매입원가 /개</t>
        </is>
      </c>
      <c r="H4" s="23" t="inlineStr">
        <is>
          <t>판관비율</t>
        </is>
      </c>
      <c r="I4" s="23" t="inlineStr">
        <is>
          <t>영업이익률</t>
        </is>
      </c>
      <c r="J4" s="23" t="inlineStr">
        <is>
          <t>BEP 가격</t>
        </is>
      </c>
      <c r="K4" s="23" t="inlineStr">
        <is>
          <t>기준 유통가</t>
        </is>
      </c>
      <c r="L4" s="23" t="inlineStr">
        <is>
          <t>최종 유통가
(영업 입력)</t>
        </is>
      </c>
      <c r="M4" s="23" t="inlineStr">
        <is>
          <t>적용가</t>
        </is>
      </c>
      <c r="N4" s="23" t="inlineStr">
        <is>
          <t>판관비 /개</t>
        </is>
      </c>
      <c r="O4" s="23" t="inlineStr">
        <is>
          <t>영업이익 /개</t>
        </is>
      </c>
      <c r="P4" s="23" t="inlineStr">
        <is>
          <t>영업이익률
(실제)</t>
        </is>
      </c>
      <c r="Q4" s="23" t="inlineStr">
        <is>
          <t>기준가 대비</t>
        </is>
      </c>
      <c r="R4" s="23" t="inlineStr">
        <is>
          <t>BEP 대비</t>
        </is>
      </c>
      <c r="S4" s="23" t="inlineStr">
        <is>
          <t>매출 합계</t>
        </is>
      </c>
      <c r="T4" s="23" t="inlineStr">
        <is>
          <t>영업이익 합계</t>
        </is>
      </c>
    </row>
    <row r="5">
      <c r="A5" s="24" t="inlineStr">
        <is>
          <t>전자식 유량계 DN50</t>
        </is>
      </c>
      <c r="B5" s="25" t="inlineStr">
        <is>
          <t>수입</t>
        </is>
      </c>
      <c r="C5" s="25" t="inlineStr">
        <is>
          <t>USD</t>
        </is>
      </c>
      <c r="D5" s="22" t="n">
        <v>420</v>
      </c>
      <c r="E5" s="36" t="n"/>
      <c r="F5" s="26" t="n">
        <v>12</v>
      </c>
      <c r="G5" s="27">
        <f>IF($B5="","",IF($B5="수입",IF(N($D5)=0,"",$D5*IF($C5="USD",설정!$B$10,IF($C5="CNY",설정!$B$11,1))*(1+설정!$B$16)),IF(N($E5)=0,"",$E5*(1+설정!$B$22))))</f>
        <v/>
      </c>
      <c r="H5" s="29" t="n"/>
      <c r="I5" s="29" t="n"/>
      <c r="J5" s="28">
        <f>IF($G5="","",IFERROR(IF(설정!$B$25="원가 가산",$G5*(1+IF($H5="",설정!$B$23,$H5)),$G5/(1-IF($H5="",설정!$B$23,$H5))),0))</f>
        <v/>
      </c>
      <c r="K5" s="28">
        <f>IF($G5="","",IFERROR(IF(설정!$B$26&lt;=1,ROUND(IF(설정!$B$25="원가 가산",$J5*(1+IF($I5="",설정!$B$24,$I5)),$G5/(1-IF($H5="",설정!$B$23,$H5)-IF($I5="",설정!$B$24,$I5))),0),CEILING(IF(설정!$B$25="원가 가산",$J5*(1+IF($I5="",설정!$B$24,$I5)),$G5/(1-IF($H5="",설정!$B$23,$H5)-IF($I5="",설정!$B$24,$I5))),설정!$B$26)),0))</f>
        <v/>
      </c>
      <c r="L5" s="37" t="n"/>
      <c r="M5" s="28">
        <f>IF($K5="","",IF($L5="",$K5,$L5))</f>
        <v/>
      </c>
      <c r="N5" s="28">
        <f>IF($M5="","",IF(설정!$B$25="원가 가산",$G5*IF($H5="",설정!$B$23,$H5),$M5*IF($H5="",설정!$B$23,$H5)))</f>
        <v/>
      </c>
      <c r="O5" s="28">
        <f>IF($M5="","",$M5-$G5-$N5)</f>
        <v/>
      </c>
      <c r="P5" s="30">
        <f>IF(N($M5)=0,"",$O5/$M5)</f>
        <v/>
      </c>
      <c r="Q5" s="30">
        <f>IF(N($K5)=0,"",$M5/$K5-1)</f>
        <v/>
      </c>
      <c r="R5" s="30">
        <f>IF(N($J5)=0,"",$M5/$J5-1)</f>
        <v/>
      </c>
      <c r="S5" s="28">
        <f>IF($M5="","",$M5*$F5)</f>
        <v/>
      </c>
      <c r="T5" s="28">
        <f>IF($O5="","",$O5*$F5)</f>
        <v/>
      </c>
    </row>
    <row r="6">
      <c r="A6" s="24" t="inlineStr">
        <is>
          <t>스테인리스 볼밸브 2"</t>
        </is>
      </c>
      <c r="B6" s="25" t="inlineStr">
        <is>
          <t>수입</t>
        </is>
      </c>
      <c r="C6" s="25" t="inlineStr">
        <is>
          <t>CNY</t>
        </is>
      </c>
      <c r="D6" s="22" t="n">
        <v>268</v>
      </c>
      <c r="E6" s="36" t="n"/>
      <c r="F6" s="26" t="n">
        <v>40</v>
      </c>
      <c r="G6" s="27">
        <f>IF($B6="","",IF($B6="수입",IF(N($D6)=0,"",$D6*IF($C6="USD",설정!$B$10,IF($C6="CNY",설정!$B$11,1))*(1+설정!$B$16)),IF(N($E6)=0,"",$E6*(1+설정!$B$22))))</f>
        <v/>
      </c>
      <c r="H6" s="29" t="n"/>
      <c r="I6" s="29" t="n"/>
      <c r="J6" s="28">
        <f>IF($G6="","",IFERROR(IF(설정!$B$25="원가 가산",$G6*(1+IF($H6="",설정!$B$23,$H6)),$G6/(1-IF($H6="",설정!$B$23,$H6))),0))</f>
        <v/>
      </c>
      <c r="K6" s="28">
        <f>IF($G6="","",IFERROR(IF(설정!$B$26&lt;=1,ROUND(IF(설정!$B$25="원가 가산",$J6*(1+IF($I6="",설정!$B$24,$I6)),$G6/(1-IF($H6="",설정!$B$23,$H6)-IF($I6="",설정!$B$24,$I6))),0),CEILING(IF(설정!$B$25="원가 가산",$J6*(1+IF($I6="",설정!$B$24,$I6)),$G6/(1-IF($H6="",설정!$B$23,$H6)-IF($I6="",설정!$B$24,$I6))),설정!$B$26)),0))</f>
        <v/>
      </c>
      <c r="L6" s="37" t="n">
        <v>72000</v>
      </c>
      <c r="M6" s="28">
        <f>IF($K6="","",IF($L6="",$K6,$L6))</f>
        <v/>
      </c>
      <c r="N6" s="28">
        <f>IF($M6="","",IF(설정!$B$25="원가 가산",$G6*IF($H6="",설정!$B$23,$H6),$M6*IF($H6="",설정!$B$23,$H6)))</f>
        <v/>
      </c>
      <c r="O6" s="28">
        <f>IF($M6="","",$M6-$G6-$N6)</f>
        <v/>
      </c>
      <c r="P6" s="30">
        <f>IF(N($M6)=0,"",$O6/$M6)</f>
        <v/>
      </c>
      <c r="Q6" s="30">
        <f>IF(N($K6)=0,"",$M6/$K6-1)</f>
        <v/>
      </c>
      <c r="R6" s="30">
        <f>IF(N($J6)=0,"",$M6/$J6-1)</f>
        <v/>
      </c>
      <c r="S6" s="28">
        <f>IF($M6="","",$M6*$F6)</f>
        <v/>
      </c>
      <c r="T6" s="28">
        <f>IF($O6="","",$O6*$F6)</f>
        <v/>
      </c>
    </row>
    <row r="7">
      <c r="A7" s="24" t="inlineStr">
        <is>
          <t>압력계 100A 0~10bar</t>
        </is>
      </c>
      <c r="B7" s="25" t="inlineStr">
        <is>
          <t>수입</t>
        </is>
      </c>
      <c r="C7" s="25" t="inlineStr">
        <is>
          <t>CNY</t>
        </is>
      </c>
      <c r="D7" s="22" t="n">
        <v>41.5</v>
      </c>
      <c r="E7" s="36" t="n"/>
      <c r="F7" s="26" t="n">
        <v>150</v>
      </c>
      <c r="G7" s="27">
        <f>IF($B7="","",IF($B7="수입",IF(N($D7)=0,"",$D7*IF($C7="USD",설정!$B$10,IF($C7="CNY",설정!$B$11,1))*(1+설정!$B$16)),IF(N($E7)=0,"",$E7*(1+설정!$B$22))))</f>
        <v/>
      </c>
      <c r="H7" s="29" t="n"/>
      <c r="I7" s="29" t="n"/>
      <c r="J7" s="28">
        <f>IF($G7="","",IFERROR(IF(설정!$B$25="원가 가산",$G7*(1+IF($H7="",설정!$B$23,$H7)),$G7/(1-IF($H7="",설정!$B$23,$H7))),0))</f>
        <v/>
      </c>
      <c r="K7" s="28">
        <f>IF($G7="","",IFERROR(IF(설정!$B$26&lt;=1,ROUND(IF(설정!$B$25="원가 가산",$J7*(1+IF($I7="",설정!$B$24,$I7)),$G7/(1-IF($H7="",설정!$B$23,$H7)-IF($I7="",설정!$B$24,$I7))),0),CEILING(IF(설정!$B$25="원가 가산",$J7*(1+IF($I7="",설정!$B$24,$I7)),$G7/(1-IF($H7="",설정!$B$23,$H7)-IF($I7="",설정!$B$24,$I7))),설정!$B$26)),0))</f>
        <v/>
      </c>
      <c r="L7" s="37" t="n"/>
      <c r="M7" s="28">
        <f>IF($K7="","",IF($L7="",$K7,$L7))</f>
        <v/>
      </c>
      <c r="N7" s="28">
        <f>IF($M7="","",IF(설정!$B$25="원가 가산",$G7*IF($H7="",설정!$B$23,$H7),$M7*IF($H7="",설정!$B$23,$H7)))</f>
        <v/>
      </c>
      <c r="O7" s="28">
        <f>IF($M7="","",$M7-$G7-$N7)</f>
        <v/>
      </c>
      <c r="P7" s="30">
        <f>IF(N($M7)=0,"",$O7/$M7)</f>
        <v/>
      </c>
      <c r="Q7" s="30">
        <f>IF(N($K7)=0,"",$M7/$K7-1)</f>
        <v/>
      </c>
      <c r="R7" s="30">
        <f>IF(N($J7)=0,"",$M7/$J7-1)</f>
        <v/>
      </c>
      <c r="S7" s="28">
        <f>IF($M7="","",$M7*$F7)</f>
        <v/>
      </c>
      <c r="T7" s="28">
        <f>IF($O7="","",$O7*$F7)</f>
        <v/>
      </c>
    </row>
    <row r="8">
      <c r="A8" s="24" t="inlineStr">
        <is>
          <t>솔레노이드 밸브 1/2"</t>
        </is>
      </c>
      <c r="B8" s="25" t="inlineStr">
        <is>
          <t>국내</t>
        </is>
      </c>
      <c r="C8" s="25" t="n"/>
      <c r="D8" s="22" t="n"/>
      <c r="E8" s="36" t="n">
        <v>38500</v>
      </c>
      <c r="F8" s="26" t="n">
        <v>60</v>
      </c>
      <c r="G8" s="27">
        <f>IF($B8="","",IF($B8="수입",IF(N($D8)=0,"",$D8*IF($C8="USD",설정!$B$10,IF($C8="CNY",설정!$B$11,1))*(1+설정!$B$16)),IF(N($E8)=0,"",$E8*(1+설정!$B$22))))</f>
        <v/>
      </c>
      <c r="H8" s="29" t="n"/>
      <c r="I8" s="29" t="n">
        <v>0.12</v>
      </c>
      <c r="J8" s="28">
        <f>IF($G8="","",IFERROR(IF(설정!$B$25="원가 가산",$G8*(1+IF($H8="",설정!$B$23,$H8)),$G8/(1-IF($H8="",설정!$B$23,$H8))),0))</f>
        <v/>
      </c>
      <c r="K8" s="28">
        <f>IF($G8="","",IFERROR(IF(설정!$B$26&lt;=1,ROUND(IF(설정!$B$25="원가 가산",$J8*(1+IF($I8="",설정!$B$24,$I8)),$G8/(1-IF($H8="",설정!$B$23,$H8)-IF($I8="",설정!$B$24,$I8))),0),CEILING(IF(설정!$B$25="원가 가산",$J8*(1+IF($I8="",설정!$B$24,$I8)),$G8/(1-IF($H8="",설정!$B$23,$H8)-IF($I8="",설정!$B$24,$I8))),설정!$B$26)),0))</f>
        <v/>
      </c>
      <c r="L8" s="37" t="n"/>
      <c r="M8" s="28">
        <f>IF($K8="","",IF($L8="",$K8,$L8))</f>
        <v/>
      </c>
      <c r="N8" s="28">
        <f>IF($M8="","",IF(설정!$B$25="원가 가산",$G8*IF($H8="",설정!$B$23,$H8),$M8*IF($H8="",설정!$B$23,$H8)))</f>
        <v/>
      </c>
      <c r="O8" s="28">
        <f>IF($M8="","",$M8-$G8-$N8)</f>
        <v/>
      </c>
      <c r="P8" s="30">
        <f>IF(N($M8)=0,"",$O8/$M8)</f>
        <v/>
      </c>
      <c r="Q8" s="30">
        <f>IF(N($K8)=0,"",$M8/$K8-1)</f>
        <v/>
      </c>
      <c r="R8" s="30">
        <f>IF(N($J8)=0,"",$M8/$J8-1)</f>
        <v/>
      </c>
      <c r="S8" s="28">
        <f>IF($M8="","",$M8*$F8)</f>
        <v/>
      </c>
      <c r="T8" s="28">
        <f>IF($O8="","",$O8*$F8)</f>
        <v/>
      </c>
    </row>
    <row r="9">
      <c r="A9" s="24" t="inlineStr">
        <is>
          <t>호스릴 어셈블리 20m</t>
        </is>
      </c>
      <c r="B9" s="25" t="inlineStr">
        <is>
          <t>국내</t>
        </is>
      </c>
      <c r="C9" s="25" t="n"/>
      <c r="D9" s="22" t="n"/>
      <c r="E9" s="36" t="n">
        <v>112000</v>
      </c>
      <c r="F9" s="26" t="n">
        <v>15</v>
      </c>
      <c r="G9" s="27">
        <f>IF($B9="","",IF($B9="수입",IF(N($D9)=0,"",$D9*IF($C9="USD",설정!$B$10,IF($C9="CNY",설정!$B$11,1))*(1+설정!$B$16)),IF(N($E9)=0,"",$E9*(1+설정!$B$22))))</f>
        <v/>
      </c>
      <c r="H9" s="29" t="n">
        <v>0.22</v>
      </c>
      <c r="I9" s="29" t="n"/>
      <c r="J9" s="28">
        <f>IF($G9="","",IFERROR(IF(설정!$B$25="원가 가산",$G9*(1+IF($H9="",설정!$B$23,$H9)),$G9/(1-IF($H9="",설정!$B$23,$H9))),0))</f>
        <v/>
      </c>
      <c r="K9" s="28">
        <f>IF($G9="","",IFERROR(IF(설정!$B$26&lt;=1,ROUND(IF(설정!$B$25="원가 가산",$J9*(1+IF($I9="",설정!$B$24,$I9)),$G9/(1-IF($H9="",설정!$B$23,$H9)-IF($I9="",설정!$B$24,$I9))),0),CEILING(IF(설정!$B$25="원가 가산",$J9*(1+IF($I9="",설정!$B$24,$I9)),$G9/(1-IF($H9="",설정!$B$23,$H9)-IF($I9="",설정!$B$24,$I9))),설정!$B$26)),0))</f>
        <v/>
      </c>
      <c r="L9" s="37" t="n">
        <v>210000</v>
      </c>
      <c r="M9" s="28">
        <f>IF($K9="","",IF($L9="",$K9,$L9))</f>
        <v/>
      </c>
      <c r="N9" s="28">
        <f>IF($M9="","",IF(설정!$B$25="원가 가산",$G9*IF($H9="",설정!$B$23,$H9),$M9*IF($H9="",설정!$B$23,$H9)))</f>
        <v/>
      </c>
      <c r="O9" s="28">
        <f>IF($M9="","",$M9-$G9-$N9)</f>
        <v/>
      </c>
      <c r="P9" s="30">
        <f>IF(N($M9)=0,"",$O9/$M9)</f>
        <v/>
      </c>
      <c r="Q9" s="30">
        <f>IF(N($K9)=0,"",$M9/$K9-1)</f>
        <v/>
      </c>
      <c r="R9" s="30">
        <f>IF(N($J9)=0,"",$M9/$J9-1)</f>
        <v/>
      </c>
      <c r="S9" s="28">
        <f>IF($M9="","",$M9*$F9)</f>
        <v/>
      </c>
      <c r="T9" s="28">
        <f>IF($O9="","",$O9*$F9)</f>
        <v/>
      </c>
    </row>
    <row r="10">
      <c r="A10" s="24" t="inlineStr">
        <is>
          <t>차압 트랜스미터</t>
        </is>
      </c>
      <c r="B10" s="25" t="inlineStr">
        <is>
          <t>수입</t>
        </is>
      </c>
      <c r="C10" s="25" t="inlineStr">
        <is>
          <t>USD</t>
        </is>
      </c>
      <c r="D10" s="22" t="n">
        <v>385</v>
      </c>
      <c r="E10" s="36" t="n"/>
      <c r="F10" s="26" t="n">
        <v>8</v>
      </c>
      <c r="G10" s="27">
        <f>IF($B10="","",IF($B10="수입",IF(N($D10)=0,"",$D10*IF($C10="USD",설정!$B$10,IF($C10="CNY",설정!$B$11,1))*(1+설정!$B$16)),IF(N($E10)=0,"",$E10*(1+설정!$B$22))))</f>
        <v/>
      </c>
      <c r="H10" s="29" t="n"/>
      <c r="I10" s="29" t="n">
        <v>0.15</v>
      </c>
      <c r="J10" s="28">
        <f>IF($G10="","",IFERROR(IF(설정!$B$25="원가 가산",$G10*(1+IF($H10="",설정!$B$23,$H10)),$G10/(1-IF($H10="",설정!$B$23,$H10))),0))</f>
        <v/>
      </c>
      <c r="K10" s="28">
        <f>IF($G10="","",IFERROR(IF(설정!$B$26&lt;=1,ROUND(IF(설정!$B$25="원가 가산",$J10*(1+IF($I10="",설정!$B$24,$I10)),$G10/(1-IF($H10="",설정!$B$23,$H10)-IF($I10="",설정!$B$24,$I10))),0),CEILING(IF(설정!$B$25="원가 가산",$J10*(1+IF($I10="",설정!$B$24,$I10)),$G10/(1-IF($H10="",설정!$B$23,$H10)-IF($I10="",설정!$B$24,$I10))),설정!$B$26)),0))</f>
        <v/>
      </c>
      <c r="L10" s="37" t="n"/>
      <c r="M10" s="28">
        <f>IF($K10="","",IF($L10="",$K10,$L10))</f>
        <v/>
      </c>
      <c r="N10" s="28">
        <f>IF($M10="","",IF(설정!$B$25="원가 가산",$G10*IF($H10="",설정!$B$23,$H10),$M10*IF($H10="",설정!$B$23,$H10)))</f>
        <v/>
      </c>
      <c r="O10" s="28">
        <f>IF($M10="","",$M10-$G10-$N10)</f>
        <v/>
      </c>
      <c r="P10" s="30">
        <f>IF(N($M10)=0,"",$O10/$M10)</f>
        <v/>
      </c>
      <c r="Q10" s="30">
        <f>IF(N($K10)=0,"",$M10/$K10-1)</f>
        <v/>
      </c>
      <c r="R10" s="30">
        <f>IF(N($J10)=0,"",$M10/$J10-1)</f>
        <v/>
      </c>
      <c r="S10" s="28">
        <f>IF($M10="","",$M10*$F10)</f>
        <v/>
      </c>
      <c r="T10" s="28">
        <f>IF($O10="","",$O10*$F10)</f>
        <v/>
      </c>
    </row>
    <row r="11">
      <c r="A11" s="24" t="n"/>
      <c r="B11" s="25" t="n"/>
      <c r="C11" s="25" t="n"/>
      <c r="D11" s="22" t="n"/>
      <c r="E11" s="36" t="n"/>
      <c r="F11" s="26" t="n"/>
      <c r="G11" s="27">
        <f>IF($B11="","",IF($B11="수입",IF(N($D11)=0,"",$D11*IF($C11="USD",설정!$B$10,IF($C11="CNY",설정!$B$11,1))*(1+설정!$B$16)),IF(N($E11)=0,"",$E11*(1+설정!$B$22))))</f>
        <v/>
      </c>
      <c r="H11" s="29" t="n"/>
      <c r="I11" s="29" t="n"/>
      <c r="J11" s="28">
        <f>IF($G11="","",IFERROR(IF(설정!$B$25="원가 가산",$G11*(1+IF($H11="",설정!$B$23,$H11)),$G11/(1-IF($H11="",설정!$B$23,$H11))),0))</f>
        <v/>
      </c>
      <c r="K11" s="28">
        <f>IF($G11="","",IFERROR(IF(설정!$B$26&lt;=1,ROUND(IF(설정!$B$25="원가 가산",$J11*(1+IF($I11="",설정!$B$24,$I11)),$G11/(1-IF($H11="",설정!$B$23,$H11)-IF($I11="",설정!$B$24,$I11))),0),CEILING(IF(설정!$B$25="원가 가산",$J11*(1+IF($I11="",설정!$B$24,$I11)),$G11/(1-IF($H11="",설정!$B$23,$H11)-IF($I11="",설정!$B$24,$I11))),설정!$B$26)),0))</f>
        <v/>
      </c>
      <c r="L11" s="37" t="n"/>
      <c r="M11" s="28">
        <f>IF($K11="","",IF($L11="",$K11,$L11))</f>
        <v/>
      </c>
      <c r="N11" s="28">
        <f>IF($M11="","",IF(설정!$B$25="원가 가산",$G11*IF($H11="",설정!$B$23,$H11),$M11*IF($H11="",설정!$B$23,$H11)))</f>
        <v/>
      </c>
      <c r="O11" s="28">
        <f>IF($M11="","",$M11-$G11-$N11)</f>
        <v/>
      </c>
      <c r="P11" s="30">
        <f>IF(N($M11)=0,"",$O11/$M11)</f>
        <v/>
      </c>
      <c r="Q11" s="30">
        <f>IF(N($K11)=0,"",$M11/$K11-1)</f>
        <v/>
      </c>
      <c r="R11" s="30">
        <f>IF(N($J11)=0,"",$M11/$J11-1)</f>
        <v/>
      </c>
      <c r="S11" s="28">
        <f>IF($M11="","",$M11*$F11)</f>
        <v/>
      </c>
      <c r="T11" s="28">
        <f>IF($O11="","",$O11*$F11)</f>
        <v/>
      </c>
    </row>
    <row r="12">
      <c r="A12" s="24" t="n"/>
      <c r="B12" s="25" t="n"/>
      <c r="C12" s="25" t="n"/>
      <c r="D12" s="22" t="n"/>
      <c r="E12" s="36" t="n"/>
      <c r="F12" s="26" t="n"/>
      <c r="G12" s="27">
        <f>IF($B12="","",IF($B12="수입",IF(N($D12)=0,"",$D12*IF($C12="USD",설정!$B$10,IF($C12="CNY",설정!$B$11,1))*(1+설정!$B$16)),IF(N($E12)=0,"",$E12*(1+설정!$B$22))))</f>
        <v/>
      </c>
      <c r="H12" s="29" t="n"/>
      <c r="I12" s="29" t="n"/>
      <c r="J12" s="28">
        <f>IF($G12="","",IFERROR(IF(설정!$B$25="원가 가산",$G12*(1+IF($H12="",설정!$B$23,$H12)),$G12/(1-IF($H12="",설정!$B$23,$H12))),0))</f>
        <v/>
      </c>
      <c r="K12" s="28">
        <f>IF($G12="","",IFERROR(IF(설정!$B$26&lt;=1,ROUND(IF(설정!$B$25="원가 가산",$J12*(1+IF($I12="",설정!$B$24,$I12)),$G12/(1-IF($H12="",설정!$B$23,$H12)-IF($I12="",설정!$B$24,$I12))),0),CEILING(IF(설정!$B$25="원가 가산",$J12*(1+IF($I12="",설정!$B$24,$I12)),$G12/(1-IF($H12="",설정!$B$23,$H12)-IF($I12="",설정!$B$24,$I12))),설정!$B$26)),0))</f>
        <v/>
      </c>
      <c r="L12" s="37" t="n"/>
      <c r="M12" s="28">
        <f>IF($K12="","",IF($L12="",$K12,$L12))</f>
        <v/>
      </c>
      <c r="N12" s="28">
        <f>IF($M12="","",IF(설정!$B$25="원가 가산",$G12*IF($H12="",설정!$B$23,$H12),$M12*IF($H12="",설정!$B$23,$H12)))</f>
        <v/>
      </c>
      <c r="O12" s="28">
        <f>IF($M12="","",$M12-$G12-$N12)</f>
        <v/>
      </c>
      <c r="P12" s="30">
        <f>IF(N($M12)=0,"",$O12/$M12)</f>
        <v/>
      </c>
      <c r="Q12" s="30">
        <f>IF(N($K12)=0,"",$M12/$K12-1)</f>
        <v/>
      </c>
      <c r="R12" s="30">
        <f>IF(N($J12)=0,"",$M12/$J12-1)</f>
        <v/>
      </c>
      <c r="S12" s="28">
        <f>IF($M12="","",$M12*$F12)</f>
        <v/>
      </c>
      <c r="T12" s="28">
        <f>IF($O12="","",$O12*$F12)</f>
        <v/>
      </c>
    </row>
    <row r="13">
      <c r="A13" s="24" t="n"/>
      <c r="B13" s="25" t="n"/>
      <c r="C13" s="25" t="n"/>
      <c r="D13" s="22" t="n"/>
      <c r="E13" s="36" t="n"/>
      <c r="F13" s="26" t="n"/>
      <c r="G13" s="27">
        <f>IF($B13="","",IF($B13="수입",IF(N($D13)=0,"",$D13*IF($C13="USD",설정!$B$10,IF($C13="CNY",설정!$B$11,1))*(1+설정!$B$16)),IF(N($E13)=0,"",$E13*(1+설정!$B$22))))</f>
        <v/>
      </c>
      <c r="H13" s="29" t="n"/>
      <c r="I13" s="29" t="n"/>
      <c r="J13" s="28">
        <f>IF($G13="","",IFERROR(IF(설정!$B$25="원가 가산",$G13*(1+IF($H13="",설정!$B$23,$H13)),$G13/(1-IF($H13="",설정!$B$23,$H13))),0))</f>
        <v/>
      </c>
      <c r="K13" s="28">
        <f>IF($G13="","",IFERROR(IF(설정!$B$26&lt;=1,ROUND(IF(설정!$B$25="원가 가산",$J13*(1+IF($I13="",설정!$B$24,$I13)),$G13/(1-IF($H13="",설정!$B$23,$H13)-IF($I13="",설정!$B$24,$I13))),0),CEILING(IF(설정!$B$25="원가 가산",$J13*(1+IF($I13="",설정!$B$24,$I13)),$G13/(1-IF($H13="",설정!$B$23,$H13)-IF($I13="",설정!$B$24,$I13))),설정!$B$26)),0))</f>
        <v/>
      </c>
      <c r="L13" s="37" t="n"/>
      <c r="M13" s="28">
        <f>IF($K13="","",IF($L13="",$K13,$L13))</f>
        <v/>
      </c>
      <c r="N13" s="28">
        <f>IF($M13="","",IF(설정!$B$25="원가 가산",$G13*IF($H13="",설정!$B$23,$H13),$M13*IF($H13="",설정!$B$23,$H13)))</f>
        <v/>
      </c>
      <c r="O13" s="28">
        <f>IF($M13="","",$M13-$G13-$N13)</f>
        <v/>
      </c>
      <c r="P13" s="30">
        <f>IF(N($M13)=0,"",$O13/$M13)</f>
        <v/>
      </c>
      <c r="Q13" s="30">
        <f>IF(N($K13)=0,"",$M13/$K13-1)</f>
        <v/>
      </c>
      <c r="R13" s="30">
        <f>IF(N($J13)=0,"",$M13/$J13-1)</f>
        <v/>
      </c>
      <c r="S13" s="28">
        <f>IF($M13="","",$M13*$F13)</f>
        <v/>
      </c>
      <c r="T13" s="28">
        <f>IF($O13="","",$O13*$F13)</f>
        <v/>
      </c>
    </row>
    <row r="14">
      <c r="A14" s="24" t="n"/>
      <c r="B14" s="25" t="n"/>
      <c r="C14" s="25" t="n"/>
      <c r="D14" s="22" t="n"/>
      <c r="E14" s="36" t="n"/>
      <c r="F14" s="26" t="n"/>
      <c r="G14" s="27">
        <f>IF($B14="","",IF($B14="수입",IF(N($D14)=0,"",$D14*IF($C14="USD",설정!$B$10,IF($C14="CNY",설정!$B$11,1))*(1+설정!$B$16)),IF(N($E14)=0,"",$E14*(1+설정!$B$22))))</f>
        <v/>
      </c>
      <c r="H14" s="29" t="n"/>
      <c r="I14" s="29" t="n"/>
      <c r="J14" s="28">
        <f>IF($G14="","",IFERROR(IF(설정!$B$25="원가 가산",$G14*(1+IF($H14="",설정!$B$23,$H14)),$G14/(1-IF($H14="",설정!$B$23,$H14))),0))</f>
        <v/>
      </c>
      <c r="K14" s="28">
        <f>IF($G14="","",IFERROR(IF(설정!$B$26&lt;=1,ROUND(IF(설정!$B$25="원가 가산",$J14*(1+IF($I14="",설정!$B$24,$I14)),$G14/(1-IF($H14="",설정!$B$23,$H14)-IF($I14="",설정!$B$24,$I14))),0),CEILING(IF(설정!$B$25="원가 가산",$J14*(1+IF($I14="",설정!$B$24,$I14)),$G14/(1-IF($H14="",설정!$B$23,$H14)-IF($I14="",설정!$B$24,$I14))),설정!$B$26)),0))</f>
        <v/>
      </c>
      <c r="L14" s="37" t="n"/>
      <c r="M14" s="28">
        <f>IF($K14="","",IF($L14="",$K14,$L14))</f>
        <v/>
      </c>
      <c r="N14" s="28">
        <f>IF($M14="","",IF(설정!$B$25="원가 가산",$G14*IF($H14="",설정!$B$23,$H14),$M14*IF($H14="",설정!$B$23,$H14)))</f>
        <v/>
      </c>
      <c r="O14" s="28">
        <f>IF($M14="","",$M14-$G14-$N14)</f>
        <v/>
      </c>
      <c r="P14" s="30">
        <f>IF(N($M14)=0,"",$O14/$M14)</f>
        <v/>
      </c>
      <c r="Q14" s="30">
        <f>IF(N($K14)=0,"",$M14/$K14-1)</f>
        <v/>
      </c>
      <c r="R14" s="30">
        <f>IF(N($J14)=0,"",$M14/$J14-1)</f>
        <v/>
      </c>
      <c r="S14" s="28">
        <f>IF($M14="","",$M14*$F14)</f>
        <v/>
      </c>
      <c r="T14" s="28">
        <f>IF($O14="","",$O14*$F14)</f>
        <v/>
      </c>
    </row>
    <row r="15">
      <c r="A15" s="24" t="n"/>
      <c r="B15" s="25" t="n"/>
      <c r="C15" s="25" t="n"/>
      <c r="D15" s="22" t="n"/>
      <c r="E15" s="36" t="n"/>
      <c r="F15" s="26" t="n"/>
      <c r="G15" s="27">
        <f>IF($B15="","",IF($B15="수입",IF(N($D15)=0,"",$D15*IF($C15="USD",설정!$B$10,IF($C15="CNY",설정!$B$11,1))*(1+설정!$B$16)),IF(N($E15)=0,"",$E15*(1+설정!$B$22))))</f>
        <v/>
      </c>
      <c r="H15" s="29" t="n"/>
      <c r="I15" s="29" t="n"/>
      <c r="J15" s="28">
        <f>IF($G15="","",IFERROR(IF(설정!$B$25="원가 가산",$G15*(1+IF($H15="",설정!$B$23,$H15)),$G15/(1-IF($H15="",설정!$B$23,$H15))),0))</f>
        <v/>
      </c>
      <c r="K15" s="28">
        <f>IF($G15="","",IFERROR(IF(설정!$B$26&lt;=1,ROUND(IF(설정!$B$25="원가 가산",$J15*(1+IF($I15="",설정!$B$24,$I15)),$G15/(1-IF($H15="",설정!$B$23,$H15)-IF($I15="",설정!$B$24,$I15))),0),CEILING(IF(설정!$B$25="원가 가산",$J15*(1+IF($I15="",설정!$B$24,$I15)),$G15/(1-IF($H15="",설정!$B$23,$H15)-IF($I15="",설정!$B$24,$I15))),설정!$B$26)),0))</f>
        <v/>
      </c>
      <c r="L15" s="37" t="n"/>
      <c r="M15" s="28">
        <f>IF($K15="","",IF($L15="",$K15,$L15))</f>
        <v/>
      </c>
      <c r="N15" s="28">
        <f>IF($M15="","",IF(설정!$B$25="원가 가산",$G15*IF($H15="",설정!$B$23,$H15),$M15*IF($H15="",설정!$B$23,$H15)))</f>
        <v/>
      </c>
      <c r="O15" s="28">
        <f>IF($M15="","",$M15-$G15-$N15)</f>
        <v/>
      </c>
      <c r="P15" s="30">
        <f>IF(N($M15)=0,"",$O15/$M15)</f>
        <v/>
      </c>
      <c r="Q15" s="30">
        <f>IF(N($K15)=0,"",$M15/$K15-1)</f>
        <v/>
      </c>
      <c r="R15" s="30">
        <f>IF(N($J15)=0,"",$M15/$J15-1)</f>
        <v/>
      </c>
      <c r="S15" s="28">
        <f>IF($M15="","",$M15*$F15)</f>
        <v/>
      </c>
      <c r="T15" s="28">
        <f>IF($O15="","",$O15*$F15)</f>
        <v/>
      </c>
    </row>
    <row r="16">
      <c r="A16" s="24" t="n"/>
      <c r="B16" s="25" t="n"/>
      <c r="C16" s="25" t="n"/>
      <c r="D16" s="22" t="n"/>
      <c r="E16" s="36" t="n"/>
      <c r="F16" s="26" t="n"/>
      <c r="G16" s="27">
        <f>IF($B16="","",IF($B16="수입",IF(N($D16)=0,"",$D16*IF($C16="USD",설정!$B$10,IF($C16="CNY",설정!$B$11,1))*(1+설정!$B$16)),IF(N($E16)=0,"",$E16*(1+설정!$B$22))))</f>
        <v/>
      </c>
      <c r="H16" s="29" t="n"/>
      <c r="I16" s="29" t="n"/>
      <c r="J16" s="28">
        <f>IF($G16="","",IFERROR(IF(설정!$B$25="원가 가산",$G16*(1+IF($H16="",설정!$B$23,$H16)),$G16/(1-IF($H16="",설정!$B$23,$H16))),0))</f>
        <v/>
      </c>
      <c r="K16" s="28">
        <f>IF($G16="","",IFERROR(IF(설정!$B$26&lt;=1,ROUND(IF(설정!$B$25="원가 가산",$J16*(1+IF($I16="",설정!$B$24,$I16)),$G16/(1-IF($H16="",설정!$B$23,$H16)-IF($I16="",설정!$B$24,$I16))),0),CEILING(IF(설정!$B$25="원가 가산",$J16*(1+IF($I16="",설정!$B$24,$I16)),$G16/(1-IF($H16="",설정!$B$23,$H16)-IF($I16="",설정!$B$24,$I16))),설정!$B$26)),0))</f>
        <v/>
      </c>
      <c r="L16" s="37" t="n"/>
      <c r="M16" s="28">
        <f>IF($K16="","",IF($L16="",$K16,$L16))</f>
        <v/>
      </c>
      <c r="N16" s="28">
        <f>IF($M16="","",IF(설정!$B$25="원가 가산",$G16*IF($H16="",설정!$B$23,$H16),$M16*IF($H16="",설정!$B$23,$H16)))</f>
        <v/>
      </c>
      <c r="O16" s="28">
        <f>IF($M16="","",$M16-$G16-$N16)</f>
        <v/>
      </c>
      <c r="P16" s="30">
        <f>IF(N($M16)=0,"",$O16/$M16)</f>
        <v/>
      </c>
      <c r="Q16" s="30">
        <f>IF(N($K16)=0,"",$M16/$K16-1)</f>
        <v/>
      </c>
      <c r="R16" s="30">
        <f>IF(N($J16)=0,"",$M16/$J16-1)</f>
        <v/>
      </c>
      <c r="S16" s="28">
        <f>IF($M16="","",$M16*$F16)</f>
        <v/>
      </c>
      <c r="T16" s="28">
        <f>IF($O16="","",$O16*$F16)</f>
        <v/>
      </c>
    </row>
    <row r="17">
      <c r="A17" s="24" t="n"/>
      <c r="B17" s="25" t="n"/>
      <c r="C17" s="25" t="n"/>
      <c r="D17" s="22" t="n"/>
      <c r="E17" s="36" t="n"/>
      <c r="F17" s="26" t="n"/>
      <c r="G17" s="27">
        <f>IF($B17="","",IF($B17="수입",IF(N($D17)=0,"",$D17*IF($C17="USD",설정!$B$10,IF($C17="CNY",설정!$B$11,1))*(1+설정!$B$16)),IF(N($E17)=0,"",$E17*(1+설정!$B$22))))</f>
        <v/>
      </c>
      <c r="H17" s="29" t="n"/>
      <c r="I17" s="29" t="n"/>
      <c r="J17" s="28">
        <f>IF($G17="","",IFERROR(IF(설정!$B$25="원가 가산",$G17*(1+IF($H17="",설정!$B$23,$H17)),$G17/(1-IF($H17="",설정!$B$23,$H17))),0))</f>
        <v/>
      </c>
      <c r="K17" s="28">
        <f>IF($G17="","",IFERROR(IF(설정!$B$26&lt;=1,ROUND(IF(설정!$B$25="원가 가산",$J17*(1+IF($I17="",설정!$B$24,$I17)),$G17/(1-IF($H17="",설정!$B$23,$H17)-IF($I17="",설정!$B$24,$I17))),0),CEILING(IF(설정!$B$25="원가 가산",$J17*(1+IF($I17="",설정!$B$24,$I17)),$G17/(1-IF($H17="",설정!$B$23,$H17)-IF($I17="",설정!$B$24,$I17))),설정!$B$26)),0))</f>
        <v/>
      </c>
      <c r="L17" s="37" t="n"/>
      <c r="M17" s="28">
        <f>IF($K17="","",IF($L17="",$K17,$L17))</f>
        <v/>
      </c>
      <c r="N17" s="28">
        <f>IF($M17="","",IF(설정!$B$25="원가 가산",$G17*IF($H17="",설정!$B$23,$H17),$M17*IF($H17="",설정!$B$23,$H17)))</f>
        <v/>
      </c>
      <c r="O17" s="28">
        <f>IF($M17="","",$M17-$G17-$N17)</f>
        <v/>
      </c>
      <c r="P17" s="30">
        <f>IF(N($M17)=0,"",$O17/$M17)</f>
        <v/>
      </c>
      <c r="Q17" s="30">
        <f>IF(N($K17)=0,"",$M17/$K17-1)</f>
        <v/>
      </c>
      <c r="R17" s="30">
        <f>IF(N($J17)=0,"",$M17/$J17-1)</f>
        <v/>
      </c>
      <c r="S17" s="28">
        <f>IF($M17="","",$M17*$F17)</f>
        <v/>
      </c>
      <c r="T17" s="28">
        <f>IF($O17="","",$O17*$F17)</f>
        <v/>
      </c>
    </row>
    <row r="18">
      <c r="A18" s="24" t="n"/>
      <c r="B18" s="25" t="n"/>
      <c r="C18" s="25" t="n"/>
      <c r="D18" s="22" t="n"/>
      <c r="E18" s="36" t="n"/>
      <c r="F18" s="26" t="n"/>
      <c r="G18" s="27">
        <f>IF($B18="","",IF($B18="수입",IF(N($D18)=0,"",$D18*IF($C18="USD",설정!$B$10,IF($C18="CNY",설정!$B$11,1))*(1+설정!$B$16)),IF(N($E18)=0,"",$E18*(1+설정!$B$22))))</f>
        <v/>
      </c>
      <c r="H18" s="29" t="n"/>
      <c r="I18" s="29" t="n"/>
      <c r="J18" s="28">
        <f>IF($G18="","",IFERROR(IF(설정!$B$25="원가 가산",$G18*(1+IF($H18="",설정!$B$23,$H18)),$G18/(1-IF($H18="",설정!$B$23,$H18))),0))</f>
        <v/>
      </c>
      <c r="K18" s="28">
        <f>IF($G18="","",IFERROR(IF(설정!$B$26&lt;=1,ROUND(IF(설정!$B$25="원가 가산",$J18*(1+IF($I18="",설정!$B$24,$I18)),$G18/(1-IF($H18="",설정!$B$23,$H18)-IF($I18="",설정!$B$24,$I18))),0),CEILING(IF(설정!$B$25="원가 가산",$J18*(1+IF($I18="",설정!$B$24,$I18)),$G18/(1-IF($H18="",설정!$B$23,$H18)-IF($I18="",설정!$B$24,$I18))),설정!$B$26)),0))</f>
        <v/>
      </c>
      <c r="L18" s="37" t="n"/>
      <c r="M18" s="28">
        <f>IF($K18="","",IF($L18="",$K18,$L18))</f>
        <v/>
      </c>
      <c r="N18" s="28">
        <f>IF($M18="","",IF(설정!$B$25="원가 가산",$G18*IF($H18="",설정!$B$23,$H18),$M18*IF($H18="",설정!$B$23,$H18)))</f>
        <v/>
      </c>
      <c r="O18" s="28">
        <f>IF($M18="","",$M18-$G18-$N18)</f>
        <v/>
      </c>
      <c r="P18" s="30">
        <f>IF(N($M18)=0,"",$O18/$M18)</f>
        <v/>
      </c>
      <c r="Q18" s="30">
        <f>IF(N($K18)=0,"",$M18/$K18-1)</f>
        <v/>
      </c>
      <c r="R18" s="30">
        <f>IF(N($J18)=0,"",$M18/$J18-1)</f>
        <v/>
      </c>
      <c r="S18" s="28">
        <f>IF($M18="","",$M18*$F18)</f>
        <v/>
      </c>
      <c r="T18" s="28">
        <f>IF($O18="","",$O18*$F18)</f>
        <v/>
      </c>
    </row>
    <row r="19">
      <c r="A19" s="24" t="n"/>
      <c r="B19" s="25" t="n"/>
      <c r="C19" s="25" t="n"/>
      <c r="D19" s="22" t="n"/>
      <c r="E19" s="36" t="n"/>
      <c r="F19" s="26" t="n"/>
      <c r="G19" s="27">
        <f>IF($B19="","",IF($B19="수입",IF(N($D19)=0,"",$D19*IF($C19="USD",설정!$B$10,IF($C19="CNY",설정!$B$11,1))*(1+설정!$B$16)),IF(N($E19)=0,"",$E19*(1+설정!$B$22))))</f>
        <v/>
      </c>
      <c r="H19" s="29" t="n"/>
      <c r="I19" s="29" t="n"/>
      <c r="J19" s="28">
        <f>IF($G19="","",IFERROR(IF(설정!$B$25="원가 가산",$G19*(1+IF($H19="",설정!$B$23,$H19)),$G19/(1-IF($H19="",설정!$B$23,$H19))),0))</f>
        <v/>
      </c>
      <c r="K19" s="28">
        <f>IF($G19="","",IFERROR(IF(설정!$B$26&lt;=1,ROUND(IF(설정!$B$25="원가 가산",$J19*(1+IF($I19="",설정!$B$24,$I19)),$G19/(1-IF($H19="",설정!$B$23,$H19)-IF($I19="",설정!$B$24,$I19))),0),CEILING(IF(설정!$B$25="원가 가산",$J19*(1+IF($I19="",설정!$B$24,$I19)),$G19/(1-IF($H19="",설정!$B$23,$H19)-IF($I19="",설정!$B$24,$I19))),설정!$B$26)),0))</f>
        <v/>
      </c>
      <c r="L19" s="37" t="n"/>
      <c r="M19" s="28">
        <f>IF($K19="","",IF($L19="",$K19,$L19))</f>
        <v/>
      </c>
      <c r="N19" s="28">
        <f>IF($M19="","",IF(설정!$B$25="원가 가산",$G19*IF($H19="",설정!$B$23,$H19),$M19*IF($H19="",설정!$B$23,$H19)))</f>
        <v/>
      </c>
      <c r="O19" s="28">
        <f>IF($M19="","",$M19-$G19-$N19)</f>
        <v/>
      </c>
      <c r="P19" s="30">
        <f>IF(N($M19)=0,"",$O19/$M19)</f>
        <v/>
      </c>
      <c r="Q19" s="30">
        <f>IF(N($K19)=0,"",$M19/$K19-1)</f>
        <v/>
      </c>
      <c r="R19" s="30">
        <f>IF(N($J19)=0,"",$M19/$J19-1)</f>
        <v/>
      </c>
      <c r="S19" s="28">
        <f>IF($M19="","",$M19*$F19)</f>
        <v/>
      </c>
      <c r="T19" s="28">
        <f>IF($O19="","",$O19*$F19)</f>
        <v/>
      </c>
    </row>
    <row r="20">
      <c r="A20" s="24" t="n"/>
      <c r="B20" s="25" t="n"/>
      <c r="C20" s="25" t="n"/>
      <c r="D20" s="22" t="n"/>
      <c r="E20" s="36" t="n"/>
      <c r="F20" s="26" t="n"/>
      <c r="G20" s="27">
        <f>IF($B20="","",IF($B20="수입",IF(N($D20)=0,"",$D20*IF($C20="USD",설정!$B$10,IF($C20="CNY",설정!$B$11,1))*(1+설정!$B$16)),IF(N($E20)=0,"",$E20*(1+설정!$B$22))))</f>
        <v/>
      </c>
      <c r="H20" s="29" t="n"/>
      <c r="I20" s="29" t="n"/>
      <c r="J20" s="28">
        <f>IF($G20="","",IFERROR(IF(설정!$B$25="원가 가산",$G20*(1+IF($H20="",설정!$B$23,$H20)),$G20/(1-IF($H20="",설정!$B$23,$H20))),0))</f>
        <v/>
      </c>
      <c r="K20" s="28">
        <f>IF($G20="","",IFERROR(IF(설정!$B$26&lt;=1,ROUND(IF(설정!$B$25="원가 가산",$J20*(1+IF($I20="",설정!$B$24,$I20)),$G20/(1-IF($H20="",설정!$B$23,$H20)-IF($I20="",설정!$B$24,$I20))),0),CEILING(IF(설정!$B$25="원가 가산",$J20*(1+IF($I20="",설정!$B$24,$I20)),$G20/(1-IF($H20="",설정!$B$23,$H20)-IF($I20="",설정!$B$24,$I20))),설정!$B$26)),0))</f>
        <v/>
      </c>
      <c r="L20" s="37" t="n"/>
      <c r="M20" s="28">
        <f>IF($K20="","",IF($L20="",$K20,$L20))</f>
        <v/>
      </c>
      <c r="N20" s="28">
        <f>IF($M20="","",IF(설정!$B$25="원가 가산",$G20*IF($H20="",설정!$B$23,$H20),$M20*IF($H20="",설정!$B$23,$H20)))</f>
        <v/>
      </c>
      <c r="O20" s="28">
        <f>IF($M20="","",$M20-$G20-$N20)</f>
        <v/>
      </c>
      <c r="P20" s="30">
        <f>IF(N($M20)=0,"",$O20/$M20)</f>
        <v/>
      </c>
      <c r="Q20" s="30">
        <f>IF(N($K20)=0,"",$M20/$K20-1)</f>
        <v/>
      </c>
      <c r="R20" s="30">
        <f>IF(N($J20)=0,"",$M20/$J20-1)</f>
        <v/>
      </c>
      <c r="S20" s="28">
        <f>IF($M20="","",$M20*$F20)</f>
        <v/>
      </c>
      <c r="T20" s="28">
        <f>IF($O20="","",$O20*$F20)</f>
        <v/>
      </c>
    </row>
    <row r="21">
      <c r="A21" s="24" t="n"/>
      <c r="B21" s="25" t="n"/>
      <c r="C21" s="25" t="n"/>
      <c r="D21" s="22" t="n"/>
      <c r="E21" s="36" t="n"/>
      <c r="F21" s="26" t="n"/>
      <c r="G21" s="27">
        <f>IF($B21="","",IF($B21="수입",IF(N($D21)=0,"",$D21*IF($C21="USD",설정!$B$10,IF($C21="CNY",설정!$B$11,1))*(1+설정!$B$16)),IF(N($E21)=0,"",$E21*(1+설정!$B$22))))</f>
        <v/>
      </c>
      <c r="H21" s="29" t="n"/>
      <c r="I21" s="29" t="n"/>
      <c r="J21" s="28">
        <f>IF($G21="","",IFERROR(IF(설정!$B$25="원가 가산",$G21*(1+IF($H21="",설정!$B$23,$H21)),$G21/(1-IF($H21="",설정!$B$23,$H21))),0))</f>
        <v/>
      </c>
      <c r="K21" s="28">
        <f>IF($G21="","",IFERROR(IF(설정!$B$26&lt;=1,ROUND(IF(설정!$B$25="원가 가산",$J21*(1+IF($I21="",설정!$B$24,$I21)),$G21/(1-IF($H21="",설정!$B$23,$H21)-IF($I21="",설정!$B$24,$I21))),0),CEILING(IF(설정!$B$25="원가 가산",$J21*(1+IF($I21="",설정!$B$24,$I21)),$G21/(1-IF($H21="",설정!$B$23,$H21)-IF($I21="",설정!$B$24,$I21))),설정!$B$26)),0))</f>
        <v/>
      </c>
      <c r="L21" s="37" t="n"/>
      <c r="M21" s="28">
        <f>IF($K21="","",IF($L21="",$K21,$L21))</f>
        <v/>
      </c>
      <c r="N21" s="28">
        <f>IF($M21="","",IF(설정!$B$25="원가 가산",$G21*IF($H21="",설정!$B$23,$H21),$M21*IF($H21="",설정!$B$23,$H21)))</f>
        <v/>
      </c>
      <c r="O21" s="28">
        <f>IF($M21="","",$M21-$G21-$N21)</f>
        <v/>
      </c>
      <c r="P21" s="30">
        <f>IF(N($M21)=0,"",$O21/$M21)</f>
        <v/>
      </c>
      <c r="Q21" s="30">
        <f>IF(N($K21)=0,"",$M21/$K21-1)</f>
        <v/>
      </c>
      <c r="R21" s="30">
        <f>IF(N($J21)=0,"",$M21/$J21-1)</f>
        <v/>
      </c>
      <c r="S21" s="28">
        <f>IF($M21="","",$M21*$F21)</f>
        <v/>
      </c>
      <c r="T21" s="28">
        <f>IF($O21="","",$O21*$F21)</f>
        <v/>
      </c>
    </row>
    <row r="22">
      <c r="A22" s="24" t="n"/>
      <c r="B22" s="25" t="n"/>
      <c r="C22" s="25" t="n"/>
      <c r="D22" s="22" t="n"/>
      <c r="E22" s="36" t="n"/>
      <c r="F22" s="26" t="n"/>
      <c r="G22" s="27">
        <f>IF($B22="","",IF($B22="수입",IF(N($D22)=0,"",$D22*IF($C22="USD",설정!$B$10,IF($C22="CNY",설정!$B$11,1))*(1+설정!$B$16)),IF(N($E22)=0,"",$E22*(1+설정!$B$22))))</f>
        <v/>
      </c>
      <c r="H22" s="29" t="n"/>
      <c r="I22" s="29" t="n"/>
      <c r="J22" s="28">
        <f>IF($G22="","",IFERROR(IF(설정!$B$25="원가 가산",$G22*(1+IF($H22="",설정!$B$23,$H22)),$G22/(1-IF($H22="",설정!$B$23,$H22))),0))</f>
        <v/>
      </c>
      <c r="K22" s="28">
        <f>IF($G22="","",IFERROR(IF(설정!$B$26&lt;=1,ROUND(IF(설정!$B$25="원가 가산",$J22*(1+IF($I22="",설정!$B$24,$I22)),$G22/(1-IF($H22="",설정!$B$23,$H22)-IF($I22="",설정!$B$24,$I22))),0),CEILING(IF(설정!$B$25="원가 가산",$J22*(1+IF($I22="",설정!$B$24,$I22)),$G22/(1-IF($H22="",설정!$B$23,$H22)-IF($I22="",설정!$B$24,$I22))),설정!$B$26)),0))</f>
        <v/>
      </c>
      <c r="L22" s="37" t="n"/>
      <c r="M22" s="28">
        <f>IF($K22="","",IF($L22="",$K22,$L22))</f>
        <v/>
      </c>
      <c r="N22" s="28">
        <f>IF($M22="","",IF(설정!$B$25="원가 가산",$G22*IF($H22="",설정!$B$23,$H22),$M22*IF($H22="",설정!$B$23,$H22)))</f>
        <v/>
      </c>
      <c r="O22" s="28">
        <f>IF($M22="","",$M22-$G22-$N22)</f>
        <v/>
      </c>
      <c r="P22" s="30">
        <f>IF(N($M22)=0,"",$O22/$M22)</f>
        <v/>
      </c>
      <c r="Q22" s="30">
        <f>IF(N($K22)=0,"",$M22/$K22-1)</f>
        <v/>
      </c>
      <c r="R22" s="30">
        <f>IF(N($J22)=0,"",$M22/$J22-1)</f>
        <v/>
      </c>
      <c r="S22" s="28">
        <f>IF($M22="","",$M22*$F22)</f>
        <v/>
      </c>
      <c r="T22" s="28">
        <f>IF($O22="","",$O22*$F22)</f>
        <v/>
      </c>
    </row>
    <row r="23">
      <c r="A23" s="24" t="n"/>
      <c r="B23" s="25" t="n"/>
      <c r="C23" s="25" t="n"/>
      <c r="D23" s="22" t="n"/>
      <c r="E23" s="36" t="n"/>
      <c r="F23" s="26" t="n"/>
      <c r="G23" s="27">
        <f>IF($B23="","",IF($B23="수입",IF(N($D23)=0,"",$D23*IF($C23="USD",설정!$B$10,IF($C23="CNY",설정!$B$11,1))*(1+설정!$B$16)),IF(N($E23)=0,"",$E23*(1+설정!$B$22))))</f>
        <v/>
      </c>
      <c r="H23" s="29" t="n"/>
      <c r="I23" s="29" t="n"/>
      <c r="J23" s="28">
        <f>IF($G23="","",IFERROR(IF(설정!$B$25="원가 가산",$G23*(1+IF($H23="",설정!$B$23,$H23)),$G23/(1-IF($H23="",설정!$B$23,$H23))),0))</f>
        <v/>
      </c>
      <c r="K23" s="28">
        <f>IF($G23="","",IFERROR(IF(설정!$B$26&lt;=1,ROUND(IF(설정!$B$25="원가 가산",$J23*(1+IF($I23="",설정!$B$24,$I23)),$G23/(1-IF($H23="",설정!$B$23,$H23)-IF($I23="",설정!$B$24,$I23))),0),CEILING(IF(설정!$B$25="원가 가산",$J23*(1+IF($I23="",설정!$B$24,$I23)),$G23/(1-IF($H23="",설정!$B$23,$H23)-IF($I23="",설정!$B$24,$I23))),설정!$B$26)),0))</f>
        <v/>
      </c>
      <c r="L23" s="37" t="n"/>
      <c r="M23" s="28">
        <f>IF($K23="","",IF($L23="",$K23,$L23))</f>
        <v/>
      </c>
      <c r="N23" s="28">
        <f>IF($M23="","",IF(설정!$B$25="원가 가산",$G23*IF($H23="",설정!$B$23,$H23),$M23*IF($H23="",설정!$B$23,$H23)))</f>
        <v/>
      </c>
      <c r="O23" s="28">
        <f>IF($M23="","",$M23-$G23-$N23)</f>
        <v/>
      </c>
      <c r="P23" s="30">
        <f>IF(N($M23)=0,"",$O23/$M23)</f>
        <v/>
      </c>
      <c r="Q23" s="30">
        <f>IF(N($K23)=0,"",$M23/$K23-1)</f>
        <v/>
      </c>
      <c r="R23" s="30">
        <f>IF(N($J23)=0,"",$M23/$J23-1)</f>
        <v/>
      </c>
      <c r="S23" s="28">
        <f>IF($M23="","",$M23*$F23)</f>
        <v/>
      </c>
      <c r="T23" s="28">
        <f>IF($O23="","",$O23*$F23)</f>
        <v/>
      </c>
    </row>
    <row r="24">
      <c r="A24" s="24" t="n"/>
      <c r="B24" s="25" t="n"/>
      <c r="C24" s="25" t="n"/>
      <c r="D24" s="22" t="n"/>
      <c r="E24" s="36" t="n"/>
      <c r="F24" s="26" t="n"/>
      <c r="G24" s="27">
        <f>IF($B24="","",IF($B24="수입",IF(N($D24)=0,"",$D24*IF($C24="USD",설정!$B$10,IF($C24="CNY",설정!$B$11,1))*(1+설정!$B$16)),IF(N($E24)=0,"",$E24*(1+설정!$B$22))))</f>
        <v/>
      </c>
      <c r="H24" s="29" t="n"/>
      <c r="I24" s="29" t="n"/>
      <c r="J24" s="28">
        <f>IF($G24="","",IFERROR(IF(설정!$B$25="원가 가산",$G24*(1+IF($H24="",설정!$B$23,$H24)),$G24/(1-IF($H24="",설정!$B$23,$H24))),0))</f>
        <v/>
      </c>
      <c r="K24" s="28">
        <f>IF($G24="","",IFERROR(IF(설정!$B$26&lt;=1,ROUND(IF(설정!$B$25="원가 가산",$J24*(1+IF($I24="",설정!$B$24,$I24)),$G24/(1-IF($H24="",설정!$B$23,$H24)-IF($I24="",설정!$B$24,$I24))),0),CEILING(IF(설정!$B$25="원가 가산",$J24*(1+IF($I24="",설정!$B$24,$I24)),$G24/(1-IF($H24="",설정!$B$23,$H24)-IF($I24="",설정!$B$24,$I24))),설정!$B$26)),0))</f>
        <v/>
      </c>
      <c r="L24" s="37" t="n"/>
      <c r="M24" s="28">
        <f>IF($K24="","",IF($L24="",$K24,$L24))</f>
        <v/>
      </c>
      <c r="N24" s="28">
        <f>IF($M24="","",IF(설정!$B$25="원가 가산",$G24*IF($H24="",설정!$B$23,$H24),$M24*IF($H24="",설정!$B$23,$H24)))</f>
        <v/>
      </c>
      <c r="O24" s="28">
        <f>IF($M24="","",$M24-$G24-$N24)</f>
        <v/>
      </c>
      <c r="P24" s="30">
        <f>IF(N($M24)=0,"",$O24/$M24)</f>
        <v/>
      </c>
      <c r="Q24" s="30">
        <f>IF(N($K24)=0,"",$M24/$K24-1)</f>
        <v/>
      </c>
      <c r="R24" s="30">
        <f>IF(N($J24)=0,"",$M24/$J24-1)</f>
        <v/>
      </c>
      <c r="S24" s="28">
        <f>IF($M24="","",$M24*$F24)</f>
        <v/>
      </c>
      <c r="T24" s="28">
        <f>IF($O24="","",$O24*$F24)</f>
        <v/>
      </c>
    </row>
    <row r="25">
      <c r="A25" s="24" t="n"/>
      <c r="B25" s="25" t="n"/>
      <c r="C25" s="25" t="n"/>
      <c r="D25" s="22" t="n"/>
      <c r="E25" s="36" t="n"/>
      <c r="F25" s="26" t="n"/>
      <c r="G25" s="27">
        <f>IF($B25="","",IF($B25="수입",IF(N($D25)=0,"",$D25*IF($C25="USD",설정!$B$10,IF($C25="CNY",설정!$B$11,1))*(1+설정!$B$16)),IF(N($E25)=0,"",$E25*(1+설정!$B$22))))</f>
        <v/>
      </c>
      <c r="H25" s="29" t="n"/>
      <c r="I25" s="29" t="n"/>
      <c r="J25" s="28">
        <f>IF($G25="","",IFERROR(IF(설정!$B$25="원가 가산",$G25*(1+IF($H25="",설정!$B$23,$H25)),$G25/(1-IF($H25="",설정!$B$23,$H25))),0))</f>
        <v/>
      </c>
      <c r="K25" s="28">
        <f>IF($G25="","",IFERROR(IF(설정!$B$26&lt;=1,ROUND(IF(설정!$B$25="원가 가산",$J25*(1+IF($I25="",설정!$B$24,$I25)),$G25/(1-IF($H25="",설정!$B$23,$H25)-IF($I25="",설정!$B$24,$I25))),0),CEILING(IF(설정!$B$25="원가 가산",$J25*(1+IF($I25="",설정!$B$24,$I25)),$G25/(1-IF($H25="",설정!$B$23,$H25)-IF($I25="",설정!$B$24,$I25))),설정!$B$26)),0))</f>
        <v/>
      </c>
      <c r="L25" s="37" t="n"/>
      <c r="M25" s="28">
        <f>IF($K25="","",IF($L25="",$K25,$L25))</f>
        <v/>
      </c>
      <c r="N25" s="28">
        <f>IF($M25="","",IF(설정!$B$25="원가 가산",$G25*IF($H25="",설정!$B$23,$H25),$M25*IF($H25="",설정!$B$23,$H25)))</f>
        <v/>
      </c>
      <c r="O25" s="28">
        <f>IF($M25="","",$M25-$G25-$N25)</f>
        <v/>
      </c>
      <c r="P25" s="30">
        <f>IF(N($M25)=0,"",$O25/$M25)</f>
        <v/>
      </c>
      <c r="Q25" s="30">
        <f>IF(N($K25)=0,"",$M25/$K25-1)</f>
        <v/>
      </c>
      <c r="R25" s="30">
        <f>IF(N($J25)=0,"",$M25/$J25-1)</f>
        <v/>
      </c>
      <c r="S25" s="28">
        <f>IF($M25="","",$M25*$F25)</f>
        <v/>
      </c>
      <c r="T25" s="28">
        <f>IF($O25="","",$O25*$F25)</f>
        <v/>
      </c>
    </row>
    <row r="26">
      <c r="A26" s="24" t="n"/>
      <c r="B26" s="25" t="n"/>
      <c r="C26" s="25" t="n"/>
      <c r="D26" s="22" t="n"/>
      <c r="E26" s="36" t="n"/>
      <c r="F26" s="26" t="n"/>
      <c r="G26" s="27">
        <f>IF($B26="","",IF($B26="수입",IF(N($D26)=0,"",$D26*IF($C26="USD",설정!$B$10,IF($C26="CNY",설정!$B$11,1))*(1+설정!$B$16)),IF(N($E26)=0,"",$E26*(1+설정!$B$22))))</f>
        <v/>
      </c>
      <c r="H26" s="29" t="n"/>
      <c r="I26" s="29" t="n"/>
      <c r="J26" s="28">
        <f>IF($G26="","",IFERROR(IF(설정!$B$25="원가 가산",$G26*(1+IF($H26="",설정!$B$23,$H26)),$G26/(1-IF($H26="",설정!$B$23,$H26))),0))</f>
        <v/>
      </c>
      <c r="K26" s="28">
        <f>IF($G26="","",IFERROR(IF(설정!$B$26&lt;=1,ROUND(IF(설정!$B$25="원가 가산",$J26*(1+IF($I26="",설정!$B$24,$I26)),$G26/(1-IF($H26="",설정!$B$23,$H26)-IF($I26="",설정!$B$24,$I26))),0),CEILING(IF(설정!$B$25="원가 가산",$J26*(1+IF($I26="",설정!$B$24,$I26)),$G26/(1-IF($H26="",설정!$B$23,$H26)-IF($I26="",설정!$B$24,$I26))),설정!$B$26)),0))</f>
        <v/>
      </c>
      <c r="L26" s="37" t="n"/>
      <c r="M26" s="28">
        <f>IF($K26="","",IF($L26="",$K26,$L26))</f>
        <v/>
      </c>
      <c r="N26" s="28">
        <f>IF($M26="","",IF(설정!$B$25="원가 가산",$G26*IF($H26="",설정!$B$23,$H26),$M26*IF($H26="",설정!$B$23,$H26)))</f>
        <v/>
      </c>
      <c r="O26" s="28">
        <f>IF($M26="","",$M26-$G26-$N26)</f>
        <v/>
      </c>
      <c r="P26" s="30">
        <f>IF(N($M26)=0,"",$O26/$M26)</f>
        <v/>
      </c>
      <c r="Q26" s="30">
        <f>IF(N($K26)=0,"",$M26/$K26-1)</f>
        <v/>
      </c>
      <c r="R26" s="30">
        <f>IF(N($J26)=0,"",$M26/$J26-1)</f>
        <v/>
      </c>
      <c r="S26" s="28">
        <f>IF($M26="","",$M26*$F26)</f>
        <v/>
      </c>
      <c r="T26" s="28">
        <f>IF($O26="","",$O26*$F26)</f>
        <v/>
      </c>
    </row>
    <row r="27">
      <c r="A27" s="24" t="n"/>
      <c r="B27" s="25" t="n"/>
      <c r="C27" s="25" t="n"/>
      <c r="D27" s="22" t="n"/>
      <c r="E27" s="36" t="n"/>
      <c r="F27" s="26" t="n"/>
      <c r="G27" s="27">
        <f>IF($B27="","",IF($B27="수입",IF(N($D27)=0,"",$D27*IF($C27="USD",설정!$B$10,IF($C27="CNY",설정!$B$11,1))*(1+설정!$B$16)),IF(N($E27)=0,"",$E27*(1+설정!$B$22))))</f>
        <v/>
      </c>
      <c r="H27" s="29" t="n"/>
      <c r="I27" s="29" t="n"/>
      <c r="J27" s="28">
        <f>IF($G27="","",IFERROR(IF(설정!$B$25="원가 가산",$G27*(1+IF($H27="",설정!$B$23,$H27)),$G27/(1-IF($H27="",설정!$B$23,$H27))),0))</f>
        <v/>
      </c>
      <c r="K27" s="28">
        <f>IF($G27="","",IFERROR(IF(설정!$B$26&lt;=1,ROUND(IF(설정!$B$25="원가 가산",$J27*(1+IF($I27="",설정!$B$24,$I27)),$G27/(1-IF($H27="",설정!$B$23,$H27)-IF($I27="",설정!$B$24,$I27))),0),CEILING(IF(설정!$B$25="원가 가산",$J27*(1+IF($I27="",설정!$B$24,$I27)),$G27/(1-IF($H27="",설정!$B$23,$H27)-IF($I27="",설정!$B$24,$I27))),설정!$B$26)),0))</f>
        <v/>
      </c>
      <c r="L27" s="37" t="n"/>
      <c r="M27" s="28">
        <f>IF($K27="","",IF($L27="",$K27,$L27))</f>
        <v/>
      </c>
      <c r="N27" s="28">
        <f>IF($M27="","",IF(설정!$B$25="원가 가산",$G27*IF($H27="",설정!$B$23,$H27),$M27*IF($H27="",설정!$B$23,$H27)))</f>
        <v/>
      </c>
      <c r="O27" s="28">
        <f>IF($M27="","",$M27-$G27-$N27)</f>
        <v/>
      </c>
      <c r="P27" s="30">
        <f>IF(N($M27)=0,"",$O27/$M27)</f>
        <v/>
      </c>
      <c r="Q27" s="30">
        <f>IF(N($K27)=0,"",$M27/$K27-1)</f>
        <v/>
      </c>
      <c r="R27" s="30">
        <f>IF(N($J27)=0,"",$M27/$J27-1)</f>
        <v/>
      </c>
      <c r="S27" s="28">
        <f>IF($M27="","",$M27*$F27)</f>
        <v/>
      </c>
      <c r="T27" s="28">
        <f>IF($O27="","",$O27*$F27)</f>
        <v/>
      </c>
    </row>
    <row r="28">
      <c r="A28" s="24" t="n"/>
      <c r="B28" s="25" t="n"/>
      <c r="C28" s="25" t="n"/>
      <c r="D28" s="22" t="n"/>
      <c r="E28" s="36" t="n"/>
      <c r="F28" s="26" t="n"/>
      <c r="G28" s="27">
        <f>IF($B28="","",IF($B28="수입",IF(N($D28)=0,"",$D28*IF($C28="USD",설정!$B$10,IF($C28="CNY",설정!$B$11,1))*(1+설정!$B$16)),IF(N($E28)=0,"",$E28*(1+설정!$B$22))))</f>
        <v/>
      </c>
      <c r="H28" s="29" t="n"/>
      <c r="I28" s="29" t="n"/>
      <c r="J28" s="28">
        <f>IF($G28="","",IFERROR(IF(설정!$B$25="원가 가산",$G28*(1+IF($H28="",설정!$B$23,$H28)),$G28/(1-IF($H28="",설정!$B$23,$H28))),0))</f>
        <v/>
      </c>
      <c r="K28" s="28">
        <f>IF($G28="","",IFERROR(IF(설정!$B$26&lt;=1,ROUND(IF(설정!$B$25="원가 가산",$J28*(1+IF($I28="",설정!$B$24,$I28)),$G28/(1-IF($H28="",설정!$B$23,$H28)-IF($I28="",설정!$B$24,$I28))),0),CEILING(IF(설정!$B$25="원가 가산",$J28*(1+IF($I28="",설정!$B$24,$I28)),$G28/(1-IF($H28="",설정!$B$23,$H28)-IF($I28="",설정!$B$24,$I28))),설정!$B$26)),0))</f>
        <v/>
      </c>
      <c r="L28" s="37" t="n"/>
      <c r="M28" s="28">
        <f>IF($K28="","",IF($L28="",$K28,$L28))</f>
        <v/>
      </c>
      <c r="N28" s="28">
        <f>IF($M28="","",IF(설정!$B$25="원가 가산",$G28*IF($H28="",설정!$B$23,$H28),$M28*IF($H28="",설정!$B$23,$H28)))</f>
        <v/>
      </c>
      <c r="O28" s="28">
        <f>IF($M28="","",$M28-$G28-$N28)</f>
        <v/>
      </c>
      <c r="P28" s="30">
        <f>IF(N($M28)=0,"",$O28/$M28)</f>
        <v/>
      </c>
      <c r="Q28" s="30">
        <f>IF(N($K28)=0,"",$M28/$K28-1)</f>
        <v/>
      </c>
      <c r="R28" s="30">
        <f>IF(N($J28)=0,"",$M28/$J28-1)</f>
        <v/>
      </c>
      <c r="S28" s="28">
        <f>IF($M28="","",$M28*$F28)</f>
        <v/>
      </c>
      <c r="T28" s="28">
        <f>IF($O28="","",$O28*$F28)</f>
        <v/>
      </c>
    </row>
    <row r="29">
      <c r="A29" s="24" t="n"/>
      <c r="B29" s="25" t="n"/>
      <c r="C29" s="25" t="n"/>
      <c r="D29" s="22" t="n"/>
      <c r="E29" s="36" t="n"/>
      <c r="F29" s="26" t="n"/>
      <c r="G29" s="27">
        <f>IF($B29="","",IF($B29="수입",IF(N($D29)=0,"",$D29*IF($C29="USD",설정!$B$10,IF($C29="CNY",설정!$B$11,1))*(1+설정!$B$16)),IF(N($E29)=0,"",$E29*(1+설정!$B$22))))</f>
        <v/>
      </c>
      <c r="H29" s="29" t="n"/>
      <c r="I29" s="29" t="n"/>
      <c r="J29" s="28">
        <f>IF($G29="","",IFERROR(IF(설정!$B$25="원가 가산",$G29*(1+IF($H29="",설정!$B$23,$H29)),$G29/(1-IF($H29="",설정!$B$23,$H29))),0))</f>
        <v/>
      </c>
      <c r="K29" s="28">
        <f>IF($G29="","",IFERROR(IF(설정!$B$26&lt;=1,ROUND(IF(설정!$B$25="원가 가산",$J29*(1+IF($I29="",설정!$B$24,$I29)),$G29/(1-IF($H29="",설정!$B$23,$H29)-IF($I29="",설정!$B$24,$I29))),0),CEILING(IF(설정!$B$25="원가 가산",$J29*(1+IF($I29="",설정!$B$24,$I29)),$G29/(1-IF($H29="",설정!$B$23,$H29)-IF($I29="",설정!$B$24,$I29))),설정!$B$26)),0))</f>
        <v/>
      </c>
      <c r="L29" s="37" t="n"/>
      <c r="M29" s="28">
        <f>IF($K29="","",IF($L29="",$K29,$L29))</f>
        <v/>
      </c>
      <c r="N29" s="28">
        <f>IF($M29="","",IF(설정!$B$25="원가 가산",$G29*IF($H29="",설정!$B$23,$H29),$M29*IF($H29="",설정!$B$23,$H29)))</f>
        <v/>
      </c>
      <c r="O29" s="28">
        <f>IF($M29="","",$M29-$G29-$N29)</f>
        <v/>
      </c>
      <c r="P29" s="30">
        <f>IF(N($M29)=0,"",$O29/$M29)</f>
        <v/>
      </c>
      <c r="Q29" s="30">
        <f>IF(N($K29)=0,"",$M29/$K29-1)</f>
        <v/>
      </c>
      <c r="R29" s="30">
        <f>IF(N($J29)=0,"",$M29/$J29-1)</f>
        <v/>
      </c>
      <c r="S29" s="28">
        <f>IF($M29="","",$M29*$F29)</f>
        <v/>
      </c>
      <c r="T29" s="28">
        <f>IF($O29="","",$O29*$F29)</f>
        <v/>
      </c>
    </row>
    <row r="30">
      <c r="A30" s="24" t="n"/>
      <c r="B30" s="25" t="n"/>
      <c r="C30" s="25" t="n"/>
      <c r="D30" s="22" t="n"/>
      <c r="E30" s="36" t="n"/>
      <c r="F30" s="26" t="n"/>
      <c r="G30" s="27">
        <f>IF($B30="","",IF($B30="수입",IF(N($D30)=0,"",$D30*IF($C30="USD",설정!$B$10,IF($C30="CNY",설정!$B$11,1))*(1+설정!$B$16)),IF(N($E30)=0,"",$E30*(1+설정!$B$22))))</f>
        <v/>
      </c>
      <c r="H30" s="29" t="n"/>
      <c r="I30" s="29" t="n"/>
      <c r="J30" s="28">
        <f>IF($G30="","",IFERROR(IF(설정!$B$25="원가 가산",$G30*(1+IF($H30="",설정!$B$23,$H30)),$G30/(1-IF($H30="",설정!$B$23,$H30))),0))</f>
        <v/>
      </c>
      <c r="K30" s="28">
        <f>IF($G30="","",IFERROR(IF(설정!$B$26&lt;=1,ROUND(IF(설정!$B$25="원가 가산",$J30*(1+IF($I30="",설정!$B$24,$I30)),$G30/(1-IF($H30="",설정!$B$23,$H30)-IF($I30="",설정!$B$24,$I30))),0),CEILING(IF(설정!$B$25="원가 가산",$J30*(1+IF($I30="",설정!$B$24,$I30)),$G30/(1-IF($H30="",설정!$B$23,$H30)-IF($I30="",설정!$B$24,$I30))),설정!$B$26)),0))</f>
        <v/>
      </c>
      <c r="L30" s="37" t="n"/>
      <c r="M30" s="28">
        <f>IF($K30="","",IF($L30="",$K30,$L30))</f>
        <v/>
      </c>
      <c r="N30" s="28">
        <f>IF($M30="","",IF(설정!$B$25="원가 가산",$G30*IF($H30="",설정!$B$23,$H30),$M30*IF($H30="",설정!$B$23,$H30)))</f>
        <v/>
      </c>
      <c r="O30" s="28">
        <f>IF($M30="","",$M30-$G30-$N30)</f>
        <v/>
      </c>
      <c r="P30" s="30">
        <f>IF(N($M30)=0,"",$O30/$M30)</f>
        <v/>
      </c>
      <c r="Q30" s="30">
        <f>IF(N($K30)=0,"",$M30/$K30-1)</f>
        <v/>
      </c>
      <c r="R30" s="30">
        <f>IF(N($J30)=0,"",$M30/$J30-1)</f>
        <v/>
      </c>
      <c r="S30" s="28">
        <f>IF($M30="","",$M30*$F30)</f>
        <v/>
      </c>
      <c r="T30" s="28">
        <f>IF($O30="","",$O30*$F30)</f>
        <v/>
      </c>
    </row>
    <row r="31">
      <c r="A31" s="24" t="n"/>
      <c r="B31" s="25" t="n"/>
      <c r="C31" s="25" t="n"/>
      <c r="D31" s="22" t="n"/>
      <c r="E31" s="36" t="n"/>
      <c r="F31" s="26" t="n"/>
      <c r="G31" s="27">
        <f>IF($B31="","",IF($B31="수입",IF(N($D31)=0,"",$D31*IF($C31="USD",설정!$B$10,IF($C31="CNY",설정!$B$11,1))*(1+설정!$B$16)),IF(N($E31)=0,"",$E31*(1+설정!$B$22))))</f>
        <v/>
      </c>
      <c r="H31" s="29" t="n"/>
      <c r="I31" s="29" t="n"/>
      <c r="J31" s="28">
        <f>IF($G31="","",IFERROR(IF(설정!$B$25="원가 가산",$G31*(1+IF($H31="",설정!$B$23,$H31)),$G31/(1-IF($H31="",설정!$B$23,$H31))),0))</f>
        <v/>
      </c>
      <c r="K31" s="28">
        <f>IF($G31="","",IFERROR(IF(설정!$B$26&lt;=1,ROUND(IF(설정!$B$25="원가 가산",$J31*(1+IF($I31="",설정!$B$24,$I31)),$G31/(1-IF($H31="",설정!$B$23,$H31)-IF($I31="",설정!$B$24,$I31))),0),CEILING(IF(설정!$B$25="원가 가산",$J31*(1+IF($I31="",설정!$B$24,$I31)),$G31/(1-IF($H31="",설정!$B$23,$H31)-IF($I31="",설정!$B$24,$I31))),설정!$B$26)),0))</f>
        <v/>
      </c>
      <c r="L31" s="37" t="n"/>
      <c r="M31" s="28">
        <f>IF($K31="","",IF($L31="",$K31,$L31))</f>
        <v/>
      </c>
      <c r="N31" s="28">
        <f>IF($M31="","",IF(설정!$B$25="원가 가산",$G31*IF($H31="",설정!$B$23,$H31),$M31*IF($H31="",설정!$B$23,$H31)))</f>
        <v/>
      </c>
      <c r="O31" s="28">
        <f>IF($M31="","",$M31-$G31-$N31)</f>
        <v/>
      </c>
      <c r="P31" s="30">
        <f>IF(N($M31)=0,"",$O31/$M31)</f>
        <v/>
      </c>
      <c r="Q31" s="30">
        <f>IF(N($K31)=0,"",$M31/$K31-1)</f>
        <v/>
      </c>
      <c r="R31" s="30">
        <f>IF(N($J31)=0,"",$M31/$J31-1)</f>
        <v/>
      </c>
      <c r="S31" s="28">
        <f>IF($M31="","",$M31*$F31)</f>
        <v/>
      </c>
      <c r="T31" s="28">
        <f>IF($O31="","",$O31*$F31)</f>
        <v/>
      </c>
    </row>
    <row r="32">
      <c r="A32" s="24" t="n"/>
      <c r="B32" s="25" t="n"/>
      <c r="C32" s="25" t="n"/>
      <c r="D32" s="22" t="n"/>
      <c r="E32" s="36" t="n"/>
      <c r="F32" s="26" t="n"/>
      <c r="G32" s="27">
        <f>IF($B32="","",IF($B32="수입",IF(N($D32)=0,"",$D32*IF($C32="USD",설정!$B$10,IF($C32="CNY",설정!$B$11,1))*(1+설정!$B$16)),IF(N($E32)=0,"",$E32*(1+설정!$B$22))))</f>
        <v/>
      </c>
      <c r="H32" s="29" t="n"/>
      <c r="I32" s="29" t="n"/>
      <c r="J32" s="28">
        <f>IF($G32="","",IFERROR(IF(설정!$B$25="원가 가산",$G32*(1+IF($H32="",설정!$B$23,$H32)),$G32/(1-IF($H32="",설정!$B$23,$H32))),0))</f>
        <v/>
      </c>
      <c r="K32" s="28">
        <f>IF($G32="","",IFERROR(IF(설정!$B$26&lt;=1,ROUND(IF(설정!$B$25="원가 가산",$J32*(1+IF($I32="",설정!$B$24,$I32)),$G32/(1-IF($H32="",설정!$B$23,$H32)-IF($I32="",설정!$B$24,$I32))),0),CEILING(IF(설정!$B$25="원가 가산",$J32*(1+IF($I32="",설정!$B$24,$I32)),$G32/(1-IF($H32="",설정!$B$23,$H32)-IF($I32="",설정!$B$24,$I32))),설정!$B$26)),0))</f>
        <v/>
      </c>
      <c r="L32" s="37" t="n"/>
      <c r="M32" s="28">
        <f>IF($K32="","",IF($L32="",$K32,$L32))</f>
        <v/>
      </c>
      <c r="N32" s="28">
        <f>IF($M32="","",IF(설정!$B$25="원가 가산",$G32*IF($H32="",설정!$B$23,$H32),$M32*IF($H32="",설정!$B$23,$H32)))</f>
        <v/>
      </c>
      <c r="O32" s="28">
        <f>IF($M32="","",$M32-$G32-$N32)</f>
        <v/>
      </c>
      <c r="P32" s="30">
        <f>IF(N($M32)=0,"",$O32/$M32)</f>
        <v/>
      </c>
      <c r="Q32" s="30">
        <f>IF(N($K32)=0,"",$M32/$K32-1)</f>
        <v/>
      </c>
      <c r="R32" s="30">
        <f>IF(N($J32)=0,"",$M32/$J32-1)</f>
        <v/>
      </c>
      <c r="S32" s="28">
        <f>IF($M32="","",$M32*$F32)</f>
        <v/>
      </c>
      <c r="T32" s="28">
        <f>IF($O32="","",$O32*$F32)</f>
        <v/>
      </c>
    </row>
    <row r="33">
      <c r="A33" s="24" t="n"/>
      <c r="B33" s="25" t="n"/>
      <c r="C33" s="25" t="n"/>
      <c r="D33" s="22" t="n"/>
      <c r="E33" s="36" t="n"/>
      <c r="F33" s="26" t="n"/>
      <c r="G33" s="27">
        <f>IF($B33="","",IF($B33="수입",IF(N($D33)=0,"",$D33*IF($C33="USD",설정!$B$10,IF($C33="CNY",설정!$B$11,1))*(1+설정!$B$16)),IF(N($E33)=0,"",$E33*(1+설정!$B$22))))</f>
        <v/>
      </c>
      <c r="H33" s="29" t="n"/>
      <c r="I33" s="29" t="n"/>
      <c r="J33" s="28">
        <f>IF($G33="","",IFERROR(IF(설정!$B$25="원가 가산",$G33*(1+IF($H33="",설정!$B$23,$H33)),$G33/(1-IF($H33="",설정!$B$23,$H33))),0))</f>
        <v/>
      </c>
      <c r="K33" s="28">
        <f>IF($G33="","",IFERROR(IF(설정!$B$26&lt;=1,ROUND(IF(설정!$B$25="원가 가산",$J33*(1+IF($I33="",설정!$B$24,$I33)),$G33/(1-IF($H33="",설정!$B$23,$H33)-IF($I33="",설정!$B$24,$I33))),0),CEILING(IF(설정!$B$25="원가 가산",$J33*(1+IF($I33="",설정!$B$24,$I33)),$G33/(1-IF($H33="",설정!$B$23,$H33)-IF($I33="",설정!$B$24,$I33))),설정!$B$26)),0))</f>
        <v/>
      </c>
      <c r="L33" s="37" t="n"/>
      <c r="M33" s="28">
        <f>IF($K33="","",IF($L33="",$K33,$L33))</f>
        <v/>
      </c>
      <c r="N33" s="28">
        <f>IF($M33="","",IF(설정!$B$25="원가 가산",$G33*IF($H33="",설정!$B$23,$H33),$M33*IF($H33="",설정!$B$23,$H33)))</f>
        <v/>
      </c>
      <c r="O33" s="28">
        <f>IF($M33="","",$M33-$G33-$N33)</f>
        <v/>
      </c>
      <c r="P33" s="30">
        <f>IF(N($M33)=0,"",$O33/$M33)</f>
        <v/>
      </c>
      <c r="Q33" s="30">
        <f>IF(N($K33)=0,"",$M33/$K33-1)</f>
        <v/>
      </c>
      <c r="R33" s="30">
        <f>IF(N($J33)=0,"",$M33/$J33-1)</f>
        <v/>
      </c>
      <c r="S33" s="28">
        <f>IF($M33="","",$M33*$F33)</f>
        <v/>
      </c>
      <c r="T33" s="28">
        <f>IF($O33="","",$O33*$F33)</f>
        <v/>
      </c>
    </row>
    <row r="34">
      <c r="A34" s="24" t="n"/>
      <c r="B34" s="25" t="n"/>
      <c r="C34" s="25" t="n"/>
      <c r="D34" s="22" t="n"/>
      <c r="E34" s="36" t="n"/>
      <c r="F34" s="26" t="n"/>
      <c r="G34" s="27">
        <f>IF($B34="","",IF($B34="수입",IF(N($D34)=0,"",$D34*IF($C34="USD",설정!$B$10,IF($C34="CNY",설정!$B$11,1))*(1+설정!$B$16)),IF(N($E34)=0,"",$E34*(1+설정!$B$22))))</f>
        <v/>
      </c>
      <c r="H34" s="29" t="n"/>
      <c r="I34" s="29" t="n"/>
      <c r="J34" s="28">
        <f>IF($G34="","",IFERROR(IF(설정!$B$25="원가 가산",$G34*(1+IF($H34="",설정!$B$23,$H34)),$G34/(1-IF($H34="",설정!$B$23,$H34))),0))</f>
        <v/>
      </c>
      <c r="K34" s="28">
        <f>IF($G34="","",IFERROR(IF(설정!$B$26&lt;=1,ROUND(IF(설정!$B$25="원가 가산",$J34*(1+IF($I34="",설정!$B$24,$I34)),$G34/(1-IF($H34="",설정!$B$23,$H34)-IF($I34="",설정!$B$24,$I34))),0),CEILING(IF(설정!$B$25="원가 가산",$J34*(1+IF($I34="",설정!$B$24,$I34)),$G34/(1-IF($H34="",설정!$B$23,$H34)-IF($I34="",설정!$B$24,$I34))),설정!$B$26)),0))</f>
        <v/>
      </c>
      <c r="L34" s="37" t="n"/>
      <c r="M34" s="28">
        <f>IF($K34="","",IF($L34="",$K34,$L34))</f>
        <v/>
      </c>
      <c r="N34" s="28">
        <f>IF($M34="","",IF(설정!$B$25="원가 가산",$G34*IF($H34="",설정!$B$23,$H34),$M34*IF($H34="",설정!$B$23,$H34)))</f>
        <v/>
      </c>
      <c r="O34" s="28">
        <f>IF($M34="","",$M34-$G34-$N34)</f>
        <v/>
      </c>
      <c r="P34" s="30">
        <f>IF(N($M34)=0,"",$O34/$M34)</f>
        <v/>
      </c>
      <c r="Q34" s="30">
        <f>IF(N($K34)=0,"",$M34/$K34-1)</f>
        <v/>
      </c>
      <c r="R34" s="30">
        <f>IF(N($J34)=0,"",$M34/$J34-1)</f>
        <v/>
      </c>
      <c r="S34" s="28">
        <f>IF($M34="","",$M34*$F34)</f>
        <v/>
      </c>
      <c r="T34" s="28">
        <f>IF($O34="","",$O34*$F34)</f>
        <v/>
      </c>
    </row>
    <row r="35">
      <c r="A35" s="24" t="n"/>
      <c r="B35" s="25" t="n"/>
      <c r="C35" s="25" t="n"/>
      <c r="D35" s="22" t="n"/>
      <c r="E35" s="36" t="n"/>
      <c r="F35" s="26" t="n"/>
      <c r="G35" s="27">
        <f>IF($B35="","",IF($B35="수입",IF(N($D35)=0,"",$D35*IF($C35="USD",설정!$B$10,IF($C35="CNY",설정!$B$11,1))*(1+설정!$B$16)),IF(N($E35)=0,"",$E35*(1+설정!$B$22))))</f>
        <v/>
      </c>
      <c r="H35" s="29" t="n"/>
      <c r="I35" s="29" t="n"/>
      <c r="J35" s="28">
        <f>IF($G35="","",IFERROR(IF(설정!$B$25="원가 가산",$G35*(1+IF($H35="",설정!$B$23,$H35)),$G35/(1-IF($H35="",설정!$B$23,$H35))),0))</f>
        <v/>
      </c>
      <c r="K35" s="28">
        <f>IF($G35="","",IFERROR(IF(설정!$B$26&lt;=1,ROUND(IF(설정!$B$25="원가 가산",$J35*(1+IF($I35="",설정!$B$24,$I35)),$G35/(1-IF($H35="",설정!$B$23,$H35)-IF($I35="",설정!$B$24,$I35))),0),CEILING(IF(설정!$B$25="원가 가산",$J35*(1+IF($I35="",설정!$B$24,$I35)),$G35/(1-IF($H35="",설정!$B$23,$H35)-IF($I35="",설정!$B$24,$I35))),설정!$B$26)),0))</f>
        <v/>
      </c>
      <c r="L35" s="37" t="n"/>
      <c r="M35" s="28">
        <f>IF($K35="","",IF($L35="",$K35,$L35))</f>
        <v/>
      </c>
      <c r="N35" s="28">
        <f>IF($M35="","",IF(설정!$B$25="원가 가산",$G35*IF($H35="",설정!$B$23,$H35),$M35*IF($H35="",설정!$B$23,$H35)))</f>
        <v/>
      </c>
      <c r="O35" s="28">
        <f>IF($M35="","",$M35-$G35-$N35)</f>
        <v/>
      </c>
      <c r="P35" s="30">
        <f>IF(N($M35)=0,"",$O35/$M35)</f>
        <v/>
      </c>
      <c r="Q35" s="30">
        <f>IF(N($K35)=0,"",$M35/$K35-1)</f>
        <v/>
      </c>
      <c r="R35" s="30">
        <f>IF(N($J35)=0,"",$M35/$J35-1)</f>
        <v/>
      </c>
      <c r="S35" s="28">
        <f>IF($M35="","",$M35*$F35)</f>
        <v/>
      </c>
      <c r="T35" s="28">
        <f>IF($O35="","",$O35*$F35)</f>
        <v/>
      </c>
    </row>
    <row r="36">
      <c r="A36" s="24" t="n"/>
      <c r="B36" s="25" t="n"/>
      <c r="C36" s="25" t="n"/>
      <c r="D36" s="22" t="n"/>
      <c r="E36" s="36" t="n"/>
      <c r="F36" s="26" t="n"/>
      <c r="G36" s="27">
        <f>IF($B36="","",IF($B36="수입",IF(N($D36)=0,"",$D36*IF($C36="USD",설정!$B$10,IF($C36="CNY",설정!$B$11,1))*(1+설정!$B$16)),IF(N($E36)=0,"",$E36*(1+설정!$B$22))))</f>
        <v/>
      </c>
      <c r="H36" s="29" t="n"/>
      <c r="I36" s="29" t="n"/>
      <c r="J36" s="28">
        <f>IF($G36="","",IFERROR(IF(설정!$B$25="원가 가산",$G36*(1+IF($H36="",설정!$B$23,$H36)),$G36/(1-IF($H36="",설정!$B$23,$H36))),0))</f>
        <v/>
      </c>
      <c r="K36" s="28">
        <f>IF($G36="","",IFERROR(IF(설정!$B$26&lt;=1,ROUND(IF(설정!$B$25="원가 가산",$J36*(1+IF($I36="",설정!$B$24,$I36)),$G36/(1-IF($H36="",설정!$B$23,$H36)-IF($I36="",설정!$B$24,$I36))),0),CEILING(IF(설정!$B$25="원가 가산",$J36*(1+IF($I36="",설정!$B$24,$I36)),$G36/(1-IF($H36="",설정!$B$23,$H36)-IF($I36="",설정!$B$24,$I36))),설정!$B$26)),0))</f>
        <v/>
      </c>
      <c r="L36" s="37" t="n"/>
      <c r="M36" s="28">
        <f>IF($K36="","",IF($L36="",$K36,$L36))</f>
        <v/>
      </c>
      <c r="N36" s="28">
        <f>IF($M36="","",IF(설정!$B$25="원가 가산",$G36*IF($H36="",설정!$B$23,$H36),$M36*IF($H36="",설정!$B$23,$H36)))</f>
        <v/>
      </c>
      <c r="O36" s="28">
        <f>IF($M36="","",$M36-$G36-$N36)</f>
        <v/>
      </c>
      <c r="P36" s="30">
        <f>IF(N($M36)=0,"",$O36/$M36)</f>
        <v/>
      </c>
      <c r="Q36" s="30">
        <f>IF(N($K36)=0,"",$M36/$K36-1)</f>
        <v/>
      </c>
      <c r="R36" s="30">
        <f>IF(N($J36)=0,"",$M36/$J36-1)</f>
        <v/>
      </c>
      <c r="S36" s="28">
        <f>IF($M36="","",$M36*$F36)</f>
        <v/>
      </c>
      <c r="T36" s="28">
        <f>IF($O36="","",$O36*$F36)</f>
        <v/>
      </c>
    </row>
    <row r="37">
      <c r="A37" s="24" t="n"/>
      <c r="B37" s="25" t="n"/>
      <c r="C37" s="25" t="n"/>
      <c r="D37" s="22" t="n"/>
      <c r="E37" s="36" t="n"/>
      <c r="F37" s="26" t="n"/>
      <c r="G37" s="27">
        <f>IF($B37="","",IF($B37="수입",IF(N($D37)=0,"",$D37*IF($C37="USD",설정!$B$10,IF($C37="CNY",설정!$B$11,1))*(1+설정!$B$16)),IF(N($E37)=0,"",$E37*(1+설정!$B$22))))</f>
        <v/>
      </c>
      <c r="H37" s="29" t="n"/>
      <c r="I37" s="29" t="n"/>
      <c r="J37" s="28">
        <f>IF($G37="","",IFERROR(IF(설정!$B$25="원가 가산",$G37*(1+IF($H37="",설정!$B$23,$H37)),$G37/(1-IF($H37="",설정!$B$23,$H37))),0))</f>
        <v/>
      </c>
      <c r="K37" s="28">
        <f>IF($G37="","",IFERROR(IF(설정!$B$26&lt;=1,ROUND(IF(설정!$B$25="원가 가산",$J37*(1+IF($I37="",설정!$B$24,$I37)),$G37/(1-IF($H37="",설정!$B$23,$H37)-IF($I37="",설정!$B$24,$I37))),0),CEILING(IF(설정!$B$25="원가 가산",$J37*(1+IF($I37="",설정!$B$24,$I37)),$G37/(1-IF($H37="",설정!$B$23,$H37)-IF($I37="",설정!$B$24,$I37))),설정!$B$26)),0))</f>
        <v/>
      </c>
      <c r="L37" s="37" t="n"/>
      <c r="M37" s="28">
        <f>IF($K37="","",IF($L37="",$K37,$L37))</f>
        <v/>
      </c>
      <c r="N37" s="28">
        <f>IF($M37="","",IF(설정!$B$25="원가 가산",$G37*IF($H37="",설정!$B$23,$H37),$M37*IF($H37="",설정!$B$23,$H37)))</f>
        <v/>
      </c>
      <c r="O37" s="28">
        <f>IF($M37="","",$M37-$G37-$N37)</f>
        <v/>
      </c>
      <c r="P37" s="30">
        <f>IF(N($M37)=0,"",$O37/$M37)</f>
        <v/>
      </c>
      <c r="Q37" s="30">
        <f>IF(N($K37)=0,"",$M37/$K37-1)</f>
        <v/>
      </c>
      <c r="R37" s="30">
        <f>IF(N($J37)=0,"",$M37/$J37-1)</f>
        <v/>
      </c>
      <c r="S37" s="28">
        <f>IF($M37="","",$M37*$F37)</f>
        <v/>
      </c>
      <c r="T37" s="28">
        <f>IF($O37="","",$O37*$F37)</f>
        <v/>
      </c>
    </row>
    <row r="38">
      <c r="A38" s="24" t="n"/>
      <c r="B38" s="25" t="n"/>
      <c r="C38" s="25" t="n"/>
      <c r="D38" s="22" t="n"/>
      <c r="E38" s="36" t="n"/>
      <c r="F38" s="26" t="n"/>
      <c r="G38" s="27">
        <f>IF($B38="","",IF($B38="수입",IF(N($D38)=0,"",$D38*IF($C38="USD",설정!$B$10,IF($C38="CNY",설정!$B$11,1))*(1+설정!$B$16)),IF(N($E38)=0,"",$E38*(1+설정!$B$22))))</f>
        <v/>
      </c>
      <c r="H38" s="29" t="n"/>
      <c r="I38" s="29" t="n"/>
      <c r="J38" s="28">
        <f>IF($G38="","",IFERROR(IF(설정!$B$25="원가 가산",$G38*(1+IF($H38="",설정!$B$23,$H38)),$G38/(1-IF($H38="",설정!$B$23,$H38))),0))</f>
        <v/>
      </c>
      <c r="K38" s="28">
        <f>IF($G38="","",IFERROR(IF(설정!$B$26&lt;=1,ROUND(IF(설정!$B$25="원가 가산",$J38*(1+IF($I38="",설정!$B$24,$I38)),$G38/(1-IF($H38="",설정!$B$23,$H38)-IF($I38="",설정!$B$24,$I38))),0),CEILING(IF(설정!$B$25="원가 가산",$J38*(1+IF($I38="",설정!$B$24,$I38)),$G38/(1-IF($H38="",설정!$B$23,$H38)-IF($I38="",설정!$B$24,$I38))),설정!$B$26)),0))</f>
        <v/>
      </c>
      <c r="L38" s="37" t="n"/>
      <c r="M38" s="28">
        <f>IF($K38="","",IF($L38="",$K38,$L38))</f>
        <v/>
      </c>
      <c r="N38" s="28">
        <f>IF($M38="","",IF(설정!$B$25="원가 가산",$G38*IF($H38="",설정!$B$23,$H38),$M38*IF($H38="",설정!$B$23,$H38)))</f>
        <v/>
      </c>
      <c r="O38" s="28">
        <f>IF($M38="","",$M38-$G38-$N38)</f>
        <v/>
      </c>
      <c r="P38" s="30">
        <f>IF(N($M38)=0,"",$O38/$M38)</f>
        <v/>
      </c>
      <c r="Q38" s="30">
        <f>IF(N($K38)=0,"",$M38/$K38-1)</f>
        <v/>
      </c>
      <c r="R38" s="30">
        <f>IF(N($J38)=0,"",$M38/$J38-1)</f>
        <v/>
      </c>
      <c r="S38" s="28">
        <f>IF($M38="","",$M38*$F38)</f>
        <v/>
      </c>
      <c r="T38" s="28">
        <f>IF($O38="","",$O38*$F38)</f>
        <v/>
      </c>
    </row>
    <row r="39">
      <c r="A39" s="24" t="n"/>
      <c r="B39" s="25" t="n"/>
      <c r="C39" s="25" t="n"/>
      <c r="D39" s="22" t="n"/>
      <c r="E39" s="36" t="n"/>
      <c r="F39" s="26" t="n"/>
      <c r="G39" s="27">
        <f>IF($B39="","",IF($B39="수입",IF(N($D39)=0,"",$D39*IF($C39="USD",설정!$B$10,IF($C39="CNY",설정!$B$11,1))*(1+설정!$B$16)),IF(N($E39)=0,"",$E39*(1+설정!$B$22))))</f>
        <v/>
      </c>
      <c r="H39" s="29" t="n"/>
      <c r="I39" s="29" t="n"/>
      <c r="J39" s="28">
        <f>IF($G39="","",IFERROR(IF(설정!$B$25="원가 가산",$G39*(1+IF($H39="",설정!$B$23,$H39)),$G39/(1-IF($H39="",설정!$B$23,$H39))),0))</f>
        <v/>
      </c>
      <c r="K39" s="28">
        <f>IF($G39="","",IFERROR(IF(설정!$B$26&lt;=1,ROUND(IF(설정!$B$25="원가 가산",$J39*(1+IF($I39="",설정!$B$24,$I39)),$G39/(1-IF($H39="",설정!$B$23,$H39)-IF($I39="",설정!$B$24,$I39))),0),CEILING(IF(설정!$B$25="원가 가산",$J39*(1+IF($I39="",설정!$B$24,$I39)),$G39/(1-IF($H39="",설정!$B$23,$H39)-IF($I39="",설정!$B$24,$I39))),설정!$B$26)),0))</f>
        <v/>
      </c>
      <c r="L39" s="37" t="n"/>
      <c r="M39" s="28">
        <f>IF($K39="","",IF($L39="",$K39,$L39))</f>
        <v/>
      </c>
      <c r="N39" s="28">
        <f>IF($M39="","",IF(설정!$B$25="원가 가산",$G39*IF($H39="",설정!$B$23,$H39),$M39*IF($H39="",설정!$B$23,$H39)))</f>
        <v/>
      </c>
      <c r="O39" s="28">
        <f>IF($M39="","",$M39-$G39-$N39)</f>
        <v/>
      </c>
      <c r="P39" s="30">
        <f>IF(N($M39)=0,"",$O39/$M39)</f>
        <v/>
      </c>
      <c r="Q39" s="30">
        <f>IF(N($K39)=0,"",$M39/$K39-1)</f>
        <v/>
      </c>
      <c r="R39" s="30">
        <f>IF(N($J39)=0,"",$M39/$J39-1)</f>
        <v/>
      </c>
      <c r="S39" s="28">
        <f>IF($M39="","",$M39*$F39)</f>
        <v/>
      </c>
      <c r="T39" s="28">
        <f>IF($O39="","",$O39*$F39)</f>
        <v/>
      </c>
    </row>
    <row r="40">
      <c r="A40" s="24" t="n"/>
      <c r="B40" s="25" t="n"/>
      <c r="C40" s="25" t="n"/>
      <c r="D40" s="22" t="n"/>
      <c r="E40" s="36" t="n"/>
      <c r="F40" s="26" t="n"/>
      <c r="G40" s="27">
        <f>IF($B40="","",IF($B40="수입",IF(N($D40)=0,"",$D40*IF($C40="USD",설정!$B$10,IF($C40="CNY",설정!$B$11,1))*(1+설정!$B$16)),IF(N($E40)=0,"",$E40*(1+설정!$B$22))))</f>
        <v/>
      </c>
      <c r="H40" s="29" t="n"/>
      <c r="I40" s="29" t="n"/>
      <c r="J40" s="28">
        <f>IF($G40="","",IFERROR(IF(설정!$B$25="원가 가산",$G40*(1+IF($H40="",설정!$B$23,$H40)),$G40/(1-IF($H40="",설정!$B$23,$H40))),0))</f>
        <v/>
      </c>
      <c r="K40" s="28">
        <f>IF($G40="","",IFERROR(IF(설정!$B$26&lt;=1,ROUND(IF(설정!$B$25="원가 가산",$J40*(1+IF($I40="",설정!$B$24,$I40)),$G40/(1-IF($H40="",설정!$B$23,$H40)-IF($I40="",설정!$B$24,$I40))),0),CEILING(IF(설정!$B$25="원가 가산",$J40*(1+IF($I40="",설정!$B$24,$I40)),$G40/(1-IF($H40="",설정!$B$23,$H40)-IF($I40="",설정!$B$24,$I40))),설정!$B$26)),0))</f>
        <v/>
      </c>
      <c r="L40" s="37" t="n"/>
      <c r="M40" s="28">
        <f>IF($K40="","",IF($L40="",$K40,$L40))</f>
        <v/>
      </c>
      <c r="N40" s="28">
        <f>IF($M40="","",IF(설정!$B$25="원가 가산",$G40*IF($H40="",설정!$B$23,$H40),$M40*IF($H40="",설정!$B$23,$H40)))</f>
        <v/>
      </c>
      <c r="O40" s="28">
        <f>IF($M40="","",$M40-$G40-$N40)</f>
        <v/>
      </c>
      <c r="P40" s="30">
        <f>IF(N($M40)=0,"",$O40/$M40)</f>
        <v/>
      </c>
      <c r="Q40" s="30">
        <f>IF(N($K40)=0,"",$M40/$K40-1)</f>
        <v/>
      </c>
      <c r="R40" s="30">
        <f>IF(N($J40)=0,"",$M40/$J40-1)</f>
        <v/>
      </c>
      <c r="S40" s="28">
        <f>IF($M40="","",$M40*$F40)</f>
        <v/>
      </c>
      <c r="T40" s="28">
        <f>IF($O40="","",$O40*$F40)</f>
        <v/>
      </c>
    </row>
    <row r="41">
      <c r="A41" s="24" t="n"/>
      <c r="B41" s="25" t="n"/>
      <c r="C41" s="25" t="n"/>
      <c r="D41" s="22" t="n"/>
      <c r="E41" s="36" t="n"/>
      <c r="F41" s="26" t="n"/>
      <c r="G41" s="27">
        <f>IF($B41="","",IF($B41="수입",IF(N($D41)=0,"",$D41*IF($C41="USD",설정!$B$10,IF($C41="CNY",설정!$B$11,1))*(1+설정!$B$16)),IF(N($E41)=0,"",$E41*(1+설정!$B$22))))</f>
        <v/>
      </c>
      <c r="H41" s="29" t="n"/>
      <c r="I41" s="29" t="n"/>
      <c r="J41" s="28">
        <f>IF($G41="","",IFERROR(IF(설정!$B$25="원가 가산",$G41*(1+IF($H41="",설정!$B$23,$H41)),$G41/(1-IF($H41="",설정!$B$23,$H41))),0))</f>
        <v/>
      </c>
      <c r="K41" s="28">
        <f>IF($G41="","",IFERROR(IF(설정!$B$26&lt;=1,ROUND(IF(설정!$B$25="원가 가산",$J41*(1+IF($I41="",설정!$B$24,$I41)),$G41/(1-IF($H41="",설정!$B$23,$H41)-IF($I41="",설정!$B$24,$I41))),0),CEILING(IF(설정!$B$25="원가 가산",$J41*(1+IF($I41="",설정!$B$24,$I41)),$G41/(1-IF($H41="",설정!$B$23,$H41)-IF($I41="",설정!$B$24,$I41))),설정!$B$26)),0))</f>
        <v/>
      </c>
      <c r="L41" s="37" t="n"/>
      <c r="M41" s="28">
        <f>IF($K41="","",IF($L41="",$K41,$L41))</f>
        <v/>
      </c>
      <c r="N41" s="28">
        <f>IF($M41="","",IF(설정!$B$25="원가 가산",$G41*IF($H41="",설정!$B$23,$H41),$M41*IF($H41="",설정!$B$23,$H41)))</f>
        <v/>
      </c>
      <c r="O41" s="28">
        <f>IF($M41="","",$M41-$G41-$N41)</f>
        <v/>
      </c>
      <c r="P41" s="30">
        <f>IF(N($M41)=0,"",$O41/$M41)</f>
        <v/>
      </c>
      <c r="Q41" s="30">
        <f>IF(N($K41)=0,"",$M41/$K41-1)</f>
        <v/>
      </c>
      <c r="R41" s="30">
        <f>IF(N($J41)=0,"",$M41/$J41-1)</f>
        <v/>
      </c>
      <c r="S41" s="28">
        <f>IF($M41="","",$M41*$F41)</f>
        <v/>
      </c>
      <c r="T41" s="28">
        <f>IF($O41="","",$O41*$F41)</f>
        <v/>
      </c>
    </row>
    <row r="42">
      <c r="A42" s="24" t="n"/>
      <c r="B42" s="25" t="n"/>
      <c r="C42" s="25" t="n"/>
      <c r="D42" s="22" t="n"/>
      <c r="E42" s="36" t="n"/>
      <c r="F42" s="26" t="n"/>
      <c r="G42" s="27">
        <f>IF($B42="","",IF($B42="수입",IF(N($D42)=0,"",$D42*IF($C42="USD",설정!$B$10,IF($C42="CNY",설정!$B$11,1))*(1+설정!$B$16)),IF(N($E42)=0,"",$E42*(1+설정!$B$22))))</f>
        <v/>
      </c>
      <c r="H42" s="29" t="n"/>
      <c r="I42" s="29" t="n"/>
      <c r="J42" s="28">
        <f>IF($G42="","",IFERROR(IF(설정!$B$25="원가 가산",$G42*(1+IF($H42="",설정!$B$23,$H42)),$G42/(1-IF($H42="",설정!$B$23,$H42))),0))</f>
        <v/>
      </c>
      <c r="K42" s="28">
        <f>IF($G42="","",IFERROR(IF(설정!$B$26&lt;=1,ROUND(IF(설정!$B$25="원가 가산",$J42*(1+IF($I42="",설정!$B$24,$I42)),$G42/(1-IF($H42="",설정!$B$23,$H42)-IF($I42="",설정!$B$24,$I42))),0),CEILING(IF(설정!$B$25="원가 가산",$J42*(1+IF($I42="",설정!$B$24,$I42)),$G42/(1-IF($H42="",설정!$B$23,$H42)-IF($I42="",설정!$B$24,$I42))),설정!$B$26)),0))</f>
        <v/>
      </c>
      <c r="L42" s="37" t="n"/>
      <c r="M42" s="28">
        <f>IF($K42="","",IF($L42="",$K42,$L42))</f>
        <v/>
      </c>
      <c r="N42" s="28">
        <f>IF($M42="","",IF(설정!$B$25="원가 가산",$G42*IF($H42="",설정!$B$23,$H42),$M42*IF($H42="",설정!$B$23,$H42)))</f>
        <v/>
      </c>
      <c r="O42" s="28">
        <f>IF($M42="","",$M42-$G42-$N42)</f>
        <v/>
      </c>
      <c r="P42" s="30">
        <f>IF(N($M42)=0,"",$O42/$M42)</f>
        <v/>
      </c>
      <c r="Q42" s="30">
        <f>IF(N($K42)=0,"",$M42/$K42-1)</f>
        <v/>
      </c>
      <c r="R42" s="30">
        <f>IF(N($J42)=0,"",$M42/$J42-1)</f>
        <v/>
      </c>
      <c r="S42" s="28">
        <f>IF($M42="","",$M42*$F42)</f>
        <v/>
      </c>
      <c r="T42" s="28">
        <f>IF($O42="","",$O42*$F42)</f>
        <v/>
      </c>
    </row>
    <row r="43">
      <c r="A43" s="24" t="n"/>
      <c r="B43" s="25" t="n"/>
      <c r="C43" s="25" t="n"/>
      <c r="D43" s="22" t="n"/>
      <c r="E43" s="36" t="n"/>
      <c r="F43" s="26" t="n"/>
      <c r="G43" s="27">
        <f>IF($B43="","",IF($B43="수입",IF(N($D43)=0,"",$D43*IF($C43="USD",설정!$B$10,IF($C43="CNY",설정!$B$11,1))*(1+설정!$B$16)),IF(N($E43)=0,"",$E43*(1+설정!$B$22))))</f>
        <v/>
      </c>
      <c r="H43" s="29" t="n"/>
      <c r="I43" s="29" t="n"/>
      <c r="J43" s="28">
        <f>IF($G43="","",IFERROR(IF(설정!$B$25="원가 가산",$G43*(1+IF($H43="",설정!$B$23,$H43)),$G43/(1-IF($H43="",설정!$B$23,$H43))),0))</f>
        <v/>
      </c>
      <c r="K43" s="28">
        <f>IF($G43="","",IFERROR(IF(설정!$B$26&lt;=1,ROUND(IF(설정!$B$25="원가 가산",$J43*(1+IF($I43="",설정!$B$24,$I43)),$G43/(1-IF($H43="",설정!$B$23,$H43)-IF($I43="",설정!$B$24,$I43))),0),CEILING(IF(설정!$B$25="원가 가산",$J43*(1+IF($I43="",설정!$B$24,$I43)),$G43/(1-IF($H43="",설정!$B$23,$H43)-IF($I43="",설정!$B$24,$I43))),설정!$B$26)),0))</f>
        <v/>
      </c>
      <c r="L43" s="37" t="n"/>
      <c r="M43" s="28">
        <f>IF($K43="","",IF($L43="",$K43,$L43))</f>
        <v/>
      </c>
      <c r="N43" s="28">
        <f>IF($M43="","",IF(설정!$B$25="원가 가산",$G43*IF($H43="",설정!$B$23,$H43),$M43*IF($H43="",설정!$B$23,$H43)))</f>
        <v/>
      </c>
      <c r="O43" s="28">
        <f>IF($M43="","",$M43-$G43-$N43)</f>
        <v/>
      </c>
      <c r="P43" s="30">
        <f>IF(N($M43)=0,"",$O43/$M43)</f>
        <v/>
      </c>
      <c r="Q43" s="30">
        <f>IF(N($K43)=0,"",$M43/$K43-1)</f>
        <v/>
      </c>
      <c r="R43" s="30">
        <f>IF(N($J43)=0,"",$M43/$J43-1)</f>
        <v/>
      </c>
      <c r="S43" s="28">
        <f>IF($M43="","",$M43*$F43)</f>
        <v/>
      </c>
      <c r="T43" s="28">
        <f>IF($O43="","",$O43*$F43)</f>
        <v/>
      </c>
    </row>
    <row r="44">
      <c r="A44" s="24" t="n"/>
      <c r="B44" s="25" t="n"/>
      <c r="C44" s="25" t="n"/>
      <c r="D44" s="22" t="n"/>
      <c r="E44" s="36" t="n"/>
      <c r="F44" s="26" t="n"/>
      <c r="G44" s="27">
        <f>IF($B44="","",IF($B44="수입",IF(N($D44)=0,"",$D44*IF($C44="USD",설정!$B$10,IF($C44="CNY",설정!$B$11,1))*(1+설정!$B$16)),IF(N($E44)=0,"",$E44*(1+설정!$B$22))))</f>
        <v/>
      </c>
      <c r="H44" s="29" t="n"/>
      <c r="I44" s="29" t="n"/>
      <c r="J44" s="28">
        <f>IF($G44="","",IFERROR(IF(설정!$B$25="원가 가산",$G44*(1+IF($H44="",설정!$B$23,$H44)),$G44/(1-IF($H44="",설정!$B$23,$H44))),0))</f>
        <v/>
      </c>
      <c r="K44" s="28">
        <f>IF($G44="","",IFERROR(IF(설정!$B$26&lt;=1,ROUND(IF(설정!$B$25="원가 가산",$J44*(1+IF($I44="",설정!$B$24,$I44)),$G44/(1-IF($H44="",설정!$B$23,$H44)-IF($I44="",설정!$B$24,$I44))),0),CEILING(IF(설정!$B$25="원가 가산",$J44*(1+IF($I44="",설정!$B$24,$I44)),$G44/(1-IF($H44="",설정!$B$23,$H44)-IF($I44="",설정!$B$24,$I44))),설정!$B$26)),0))</f>
        <v/>
      </c>
      <c r="L44" s="37" t="n"/>
      <c r="M44" s="28">
        <f>IF($K44="","",IF($L44="",$K44,$L44))</f>
        <v/>
      </c>
      <c r="N44" s="28">
        <f>IF($M44="","",IF(설정!$B$25="원가 가산",$G44*IF($H44="",설정!$B$23,$H44),$M44*IF($H44="",설정!$B$23,$H44)))</f>
        <v/>
      </c>
      <c r="O44" s="28">
        <f>IF($M44="","",$M44-$G44-$N44)</f>
        <v/>
      </c>
      <c r="P44" s="30">
        <f>IF(N($M44)=0,"",$O44/$M44)</f>
        <v/>
      </c>
      <c r="Q44" s="30">
        <f>IF(N($K44)=0,"",$M44/$K44-1)</f>
        <v/>
      </c>
      <c r="R44" s="30">
        <f>IF(N($J44)=0,"",$M44/$J44-1)</f>
        <v/>
      </c>
      <c r="S44" s="28">
        <f>IF($M44="","",$M44*$F44)</f>
        <v/>
      </c>
      <c r="T44" s="28">
        <f>IF($O44="","",$O44*$F44)</f>
        <v/>
      </c>
    </row>
    <row r="45">
      <c r="A45" s="31" t="inlineStr">
        <is>
          <t>합계</t>
        </is>
      </c>
      <c r="B45" s="32" t="n"/>
      <c r="C45" s="32" t="n"/>
      <c r="D45" s="32" t="n"/>
      <c r="E45" s="32" t="n"/>
      <c r="F45" s="33">
        <f>SUM(F5:F44)</f>
        <v/>
      </c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5">
        <f>IFERROR(SUM(T5:T44)/SUM(S5:S44),0)</f>
        <v/>
      </c>
      <c r="Q45" s="32" t="n"/>
      <c r="R45" s="32" t="n"/>
      <c r="S45" s="34">
        <f>SUM(S5:S44)</f>
        <v/>
      </c>
      <c r="T45" s="34">
        <f>SUM(T5:T44)</f>
        <v/>
      </c>
    </row>
    <row r="47">
      <c r="A47" s="5" t="inlineStr">
        <is>
          <t>① 구분(수입/국내)에 따라 D열(외화 단가) 또는 E열(원화 매입단가) 하나만 채웁니다.</t>
        </is>
      </c>
    </row>
    <row r="48">
      <c r="A48" s="5" t="inlineStr">
        <is>
          <t>② H·I열을 비워 두면 설정 시트의 기본 판관비율·영업이익률이 적용됩니다.</t>
        </is>
      </c>
    </row>
    <row r="49">
      <c r="A49" s="5" t="inlineStr">
        <is>
          <t>③ K열 기준 유통가를 영업에 전달하고, 영업이 정한 값을 L열(노란 칸)에 적습니다. 비워 두면 기준가가 그대로 적용됩니다.</t>
        </is>
      </c>
    </row>
    <row r="50">
      <c r="A50" s="4" t="inlineStr">
        <is>
          <t>④ 최종 유통가가 BEP 가격보다 낮으면 L열이 빨갛게 표시됩니다 — 팔수록 손해라는 뜻입니다.</t>
        </is>
      </c>
    </row>
    <row r="51">
      <c r="A51" s="4" t="inlineStr">
        <is>
          <t>샘플 6개 상품은 형식을 보여주기 위한 예시입니다. 실제 상품으로 교체하세요.</t>
        </is>
      </c>
    </row>
    <row r="52">
      <c r="A52" s="5" t="inlineStr">
        <is>
          <t>표시 금액은 모두 부가세 별도입니다.</t>
        </is>
      </c>
    </row>
  </sheetData>
  <conditionalFormatting sqref="L5:L44">
    <cfRule type="expression" priority="1" dxfId="0" stopIfTrue="0">
      <formula>AND(N($L5)&gt;0,N($J5)&gt;0,$L5&lt;$J5)</formula>
    </cfRule>
  </conditionalFormatting>
  <conditionalFormatting sqref="Q5:Q44">
    <cfRule type="expression" priority="2" dxfId="1" stopIfTrue="0">
      <formula>AND(N($M5)&gt;0,$M5&lt;$K5)</formula>
    </cfRule>
  </conditionalFormatting>
  <dataValidations count="2">
    <dataValidation sqref="B5:B44" showDropDown="0" showInputMessage="0" showErrorMessage="0" allowBlank="1" type="list">
      <formula1>"수입,국내"</formula1>
    </dataValidation>
    <dataValidation sqref="C5:C44" showDropDown="0" showInputMessage="0" showErrorMessage="0" allowBlank="1" type="list">
      <formula1>"USD,CNY,KRW"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2026-09-08T05:14:17Z</dcterms:created>
  <dcterms:modified xsi:type="dcterms:W3CDTF">2026-09-08T05:14:17Z</dcterms:modified>
</cp:coreProperties>
</file>